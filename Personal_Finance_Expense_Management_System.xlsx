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479e8f2d0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35eab78f2b72409e"/>
    <x:sheet xmlns:r="http://schemas.openxmlformats.org/officeDocument/2006/relationships" name="Cleaned Data" sheetId="2" r:id="R68b93227698d475b"/>
    <x:sheet xmlns:r="http://schemas.openxmlformats.org/officeDocument/2006/relationships" name="Budget Planning" sheetId="3" r:id="Rf6b65c6fb6314116"/>
    <x:sheet xmlns:r="http://schemas.openxmlformats.org/officeDocument/2006/relationships" name="KPI Summary" sheetId="4" r:id="R2b0a7f99d1864b88"/>
    <x:sheet xmlns:r="http://schemas.openxmlformats.org/officeDocument/2006/relationships" name="Dashboard" sheetId="5" r:id="Rbbe1de382252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dd-mmm-yy"/>
    <x:numFmt numFmtId="166" formatCode="₹#,##0;[Red](₹#,##0);-"/>
    <x:numFmt numFmtId="167" formatCode="0.0%"/>
  </x:numFmts>
  <x:fonts count="9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2E7D32"/>
    </x:font>
    <x:font>
      <x:b/>
      <x:color rgb="00C62828"/>
    </x:font>
    <x:font>
      <x:b/>
      <x:color rgb="00000000"/>
    </x:font>
    <x:font>
      <x:b/>
      <x:sz val="14"/>
      <x:color rgb="00FFFFFF"/>
    </x:font>
    <x:font>
      <x:b/>
    </x:font>
    <x:font>
      <x:b/>
      <x:sz val="18"/>
      <x:color rgb="00FFFFFF"/>
    </x:font>
    <x:font>
      <x:b/>
      <x:sz val="12"/>
      <x:color rgb="00FFFFFF"/>
    </x:font>
  </x:fonts>
  <x:fills count="16">
    <x:fill>
      <x:patternFill patternType="none"/>
    </x:fill>
    <x:fill>
      <x:patternFill patternType="gray125"/>
    </x:fill>
    <x:fill>
      <x:patternFill patternType="solid">
        <x:fgColor rgb="00163A5F"/>
      </x:patternFill>
    </x:fill>
    <x:fill>
      <x:patternFill patternType="solid">
        <x:fgColor rgb="00E8F5E9"/>
      </x:patternFill>
    </x:fill>
    <x:fill>
      <x:patternFill patternType="solid">
        <x:fgColor rgb="00FDECEA"/>
      </x:patternFill>
    </x:fill>
    <x:fill>
      <x:patternFill patternType="solid">
        <x:fgColor rgb="0000897B"/>
      </x:patternFill>
    </x:fill>
    <x:fill>
      <x:patternFill patternType="solid">
        <x:fgColor rgb="001565C0"/>
      </x:patternFill>
    </x:fill>
    <x:fill>
      <x:patternFill patternType="solid">
        <x:fgColor rgb="00F9A825"/>
      </x:patternFill>
    </x:fill>
    <x:fill>
      <x:patternFill patternType="solid">
        <x:fgColor rgb="00FFF8E1"/>
      </x:patternFill>
    </x:fill>
    <x:fill>
      <x:patternFill patternType="solid">
        <x:fgColor rgb="00F3F4F6"/>
      </x:patternFill>
    </x:fill>
    <x:fill>
      <x:patternFill patternType="solid">
        <x:fgColor rgb="00EF6C00"/>
      </x:patternFill>
    </x:fill>
    <x:fill>
      <x:patternFill patternType="solid">
        <x:fgColor rgb="002E7D32"/>
      </x:patternFill>
    </x:fill>
    <x:fill>
      <x:patternFill patternType="solid">
        <x:fgColor rgb="00C62828"/>
      </x:patternFill>
    </x:fill>
    <x:fill>
      <x:patternFill patternType="solid">
        <x:fgColor rgb="00FDEBD0"/>
      </x:patternFill>
    </x:fill>
    <x:fill>
      <x:patternFill patternType="solid">
        <x:fgColor rgb="00DCE6F1"/>
      </x:patternFill>
    </x:fill>
    <x:fill>
      <x:patternFill patternType="solid">
        <x:fgColor rgb="00DFF2EF"/>
      </x:patternFill>
    </x:fill>
  </x:fills>
  <x:borders count="3">
    <x:border>
      <x:left/>
      <x:right/>
      <x:top/>
      <x:bottom/>
      <x:diagonal/>
    </x:border>
    <x:border>
      <x:bottom style="medium">
        <x:color rgb="00BFBFBF"/>
      </x:bottom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1" xfId="0" applyAlignment="1">
      <x:alignment horizontal="center" vertical="center"/>
    </x:xf>
    <x:xf numFmtId="165" fontId="0" fillId="0" borderId="0" xfId="0"/>
    <x:xf numFmtId="166" fontId="0" fillId="0" borderId="0" xfId="0"/>
    <x:xf numFmtId="0" fontId="2" fillId="3" borderId="0" xfId="0"/>
    <x:xf numFmtId="0" fontId="3" fillId="4" borderId="0" xfId="0"/>
    <x:xf numFmtId="0" fontId="1" fillId="5" borderId="1" xfId="0" applyAlignment="1">
      <x:alignment horizontal="center" vertical="center"/>
    </x:xf>
    <x:xf numFmtId="0" fontId="4" fillId="7" borderId="1" xfId="0" applyAlignment="1">
      <x:alignment horizontal="center" vertical="center"/>
    </x:xf>
    <x:xf numFmtId="0" fontId="5" fillId="2" borderId="0" xfId="0" applyAlignment="1">
      <x:alignment horizontal="center"/>
    </x:xf>
    <x:xf numFmtId="0" fontId="1" fillId="5" borderId="0" xfId="0" applyAlignment="1">
      <x:alignment horizontal="center"/>
    </x:xf>
    <x:xf numFmtId="0" fontId="1" fillId="10" borderId="0" xfId="0" applyAlignment="1">
      <x:alignment horizontal="center"/>
    </x:xf>
    <x:xf numFmtId="0" fontId="1" fillId="6" borderId="0" xfId="0" applyAlignment="1">
      <x:alignment horizontal="center"/>
    </x:xf>
    <x:xf numFmtId="0" fontId="6" fillId="0" borderId="0" xfId="0"/>
    <x:xf numFmtId="0" fontId="0" fillId="8" borderId="0" xfId="0"/>
    <x:xf numFmtId="167" fontId="0" fillId="0" borderId="0" xfId="0"/>
    <x:xf numFmtId="0" fontId="6" fillId="9" borderId="0" xfId="0"/>
    <x:xf numFmtId="0" fontId="7" fillId="2" borderId="0" xfId="0" applyAlignment="1">
      <x:alignment horizontal="center" vertical="center"/>
    </x:xf>
    <x:xf numFmtId="0" fontId="8" fillId="11" borderId="2" xfId="0" applyAlignment="1">
      <x:alignment horizontal="center" vertical="center"/>
    </x:xf>
    <x:xf numFmtId="0" fontId="0" fillId="0" borderId="2" xfId="0"/>
    <x:xf numFmtId="0" fontId="8" fillId="12" borderId="2" xfId="0" applyAlignment="1">
      <x:alignment horizontal="center" vertical="center"/>
    </x:xf>
    <x:xf numFmtId="0" fontId="8" fillId="6" borderId="2" xfId="0" applyAlignment="1">
      <x:alignment horizontal="center" vertical="center"/>
    </x:xf>
    <x:xf numFmtId="0" fontId="8" fillId="10" borderId="2" xfId="0" applyAlignment="1">
      <x:alignment horizontal="center" vertical="center"/>
    </x:xf>
    <x:xf numFmtId="0" fontId="6" fillId="7" borderId="2" xfId="0"/>
    <x:xf numFmtId="166" fontId="7" fillId="11" borderId="2" xfId="0" applyAlignment="1">
      <x:alignment horizontal="center" vertical="center"/>
    </x:xf>
    <x:xf numFmtId="166" fontId="7" fillId="12" borderId="2" xfId="0" applyAlignment="1">
      <x:alignment horizontal="center" vertical="center"/>
    </x:xf>
    <x:xf numFmtId="166" fontId="7" fillId="6" borderId="2" xfId="0" applyAlignment="1">
      <x:alignment horizontal="center" vertical="center"/>
    </x:xf>
    <x:xf numFmtId="167" fontId="7" fillId="10" borderId="2" xfId="0" applyAlignment="1">
      <x:alignment horizontal="center" vertical="center"/>
    </x:xf>
    <x:xf numFmtId="0" fontId="0" fillId="9" borderId="2" xfId="0" applyAlignment="1">
      <x:alignment horizontal="center"/>
    </x:xf>
    <x:xf numFmtId="0" fontId="0" fillId="0" borderId="2" xfId="0" applyAlignment="1">
      <x:alignment wrapText="1"/>
    </x:xf>
    <x:xf numFmtId="0" fontId="1" fillId="10" borderId="2" xfId="0"/>
    <x:xf numFmtId="0" fontId="1" fillId="6" borderId="2" xfId="0"/>
    <x:xf numFmtId="0" fontId="1" fillId="2" borderId="2" xfId="0"/>
    <x:xf numFmtId="0" fontId="6" fillId="13" borderId="2" xfId="0"/>
    <x:xf numFmtId="0" fontId="6" fillId="14" borderId="2" xfId="0"/>
    <x:xf numFmtId="166" fontId="0" fillId="0" borderId="2" xfId="0"/>
    <x:xf numFmtId="167" fontId="0" fillId="0" borderId="2" xfId="0"/>
    <x:xf numFmtId="0" fontId="1" fillId="5" borderId="2" xfId="0"/>
    <x:xf numFmtId="0" fontId="6" fillId="15" borderId="2" xfId="0"/>
  </x:cellXfs>
  <x:cellStyles count="1">
    <x:cellStyle name="Normal" xfId="0"/>
  </x:cellStyles>
  <x:dxfs count="2">
    <x:dxf>
      <x:font>
        <x:color rgb="009C0006"/>
      </x:font>
      <x:fill>
        <x:patternFill>
          <x:bgColor rgb="00FFC7CE"/>
        </x:patternFill>
      </x:fill>
    </x:dxf>
    <x:dxf>
      <x:font>
        <x:b/>
        <x:color rgb="009C0006"/>
      </x:font>
      <x:fill>
        <x:patternFill>
          <x:bgColor rgb="00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9159ddf054b13" /><Relationship Type="http://schemas.openxmlformats.org/officeDocument/2006/relationships/theme" Target="/xl/theme/theme1.xml" Id="Rea486804263d4774" /><Relationship Type="http://schemas.openxmlformats.org/officeDocument/2006/relationships/sharedStrings" Target="/xl/sharedStrings.xml" Id="Rd8a60678402a45b6" /><Relationship Type="http://schemas.openxmlformats.org/officeDocument/2006/relationships/worksheet" Target="/xl/worksheets/sheet1.xml" Id="R35eab78f2b72409e" /><Relationship Type="http://schemas.openxmlformats.org/officeDocument/2006/relationships/worksheet" Target="/xl/worksheets/sheet2.xml" Id="R68b93227698d475b" /><Relationship Type="http://schemas.openxmlformats.org/officeDocument/2006/relationships/worksheet" Target="/xl/worksheets/sheet3.xml" Id="Rf6b65c6fb6314116" /><Relationship Type="http://schemas.openxmlformats.org/officeDocument/2006/relationships/worksheet" Target="/xl/worksheets/sheet4.xml" Id="R2b0a7f99d1864b88" /><Relationship Type="http://schemas.openxmlformats.org/officeDocument/2006/relationships/worksheet" Target="/xl/worksheets/sheet5.xml" Id="Rbbe1de38225248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d8e05be23f45aa" /><Relationship Type="http://schemas.openxmlformats.org/officeDocument/2006/relationships/chart" Target="/xl/drawings/charts/chart2.xml" Id="Ra2e6f0340c454bc5" /><Relationship Type="http://schemas.openxmlformats.org/officeDocument/2006/relationships/chart" Target="/xl/drawings/charts/chart3.xml" Id="Rfc5c9f70a68649b7" /></Relationships>
</file>

<file path=xl/drawings/charts/chart1.xml><?xml version="1.0" encoding="utf-8"?>
<c:chartSpace xmlns:c="http://schemas.openxmlformats.org/drawingml/2006/chart">
  <c:lang val="en-US"/>
  <c:style val="1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Income vs Expense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Summary'!I2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'KPI Summary'!$H$3:$H$14</c:f>
              <c:strCache>
                <c:ptCount val="0"/>
              </c:strCache>
            </c:strRef>
          </c:cat>
          <c:val>
            <c:numRef>
              <c:f>'KPI Summary'!$I$3:$I$14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'KPI Summary'!J2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'KPI Summary'!$H$3:$H$14</c:f>
              <c:strCache>
                <c:ptCount val="0"/>
              </c:strCache>
            </c:strRef>
          </c:cat>
          <c:val>
            <c:numRef>
              <c:f>'KPI Summary'!$J$3:$J$14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Month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Amount (₹)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 Distribution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 Summary'!O2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'KPI Summary'!$N$3:$N$13</c:f>
              <c:strCache>
                <c:ptCount val="0"/>
              </c:strCache>
            </c:strRef>
          </c:cat>
          <c:val>
            <c:numRef>
              <c:f>'KPI Summary'!$O$3:$O$13</c:f>
              <c:numCache>
                <c:formatCode>General</c:formatCode>
                <c:ptCount val="0"/>
              </c:numCache>
            </c:numRef>
          </c:val>
        </c:ser>
        <c:dLbls>
          <c:showPercent val="1"/>
        </c:dLbls>
        <c:firstSliceAng val="0"/>
        <c:holeSize val="55"/>
      </c:doughnutChart>
    </c:plotArea>
    <c:legend>
      <c:legendPos val="r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'KPI Summary'!O2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'KPI Summary'!$N$3:$N$13</c:f>
              <c:strCache>
                <c:ptCount val="0"/>
              </c:strCache>
            </c:strRef>
          </c:cat>
          <c:val>
            <c:numRef>
              <c:f>'KPI Summary'!$O$3:$O$13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Amount (₹)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Category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d8e05be23f45aa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e6f0340c454bc5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5c9f70a68649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FinanceData" displayName="RawFinanceData" ref="A1:L180" headerRowCount="1">
  <x:autoFilter ref="A1:L180"/>
  <x:tableColumns count="12">
    <x:tableColumn id="1" name="Date"/>
    <x:tableColumn id="2" name="Month"/>
    <x:tableColumn id="3" name="Income Source"/>
    <x:tableColumn id="4" name="Expense Category"/>
    <x:tableColumn id="5" name="Expense Type"/>
    <x:tableColumn id="6" name="Payment Mode"/>
    <x:tableColumn id="7" name="Amount"/>
    <x:tableColumn id="8" name="Income/Expense Indicator"/>
    <x:tableColumn id="9" name="Savings"/>
    <x:tableColumn id="10" name="Budget Allocated"/>
    <x:tableColumn id="11" name="Budget Remaining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leanFinanceData" displayName="CleanFinanceData" ref="A1:L180" headerRowCount="1">
  <x:autoFilter ref="A1:L180"/>
  <x:tableColumns count="12">
    <x:tableColumn id="1" name="Date"/>
    <x:tableColumn id="2" name="Month"/>
    <x:tableColumn id="3" name="Income Source"/>
    <x:tableColumn id="4" name="Expense Category"/>
    <x:tableColumn id="5" name="Expense Type"/>
    <x:tableColumn id="6" name="Payment Mode"/>
    <x:tableColumn id="7" name="Amount"/>
    <x:tableColumn id="8" name="Income/Expense Indicator"/>
    <x:tableColumn id="9" name="Savings"/>
    <x:tableColumn id="10" name="Budget Allocated"/>
    <x:tableColumn id="11" name="Budget Remaining"/>
    <x:tableColumn id="12" name="Notes"/>
  </x:tableColumns>
  <x:tableStyleInfo name="TableStyleMedium9" showRowStripes="1"/>
</x:table>
</file>

<file path=xl/tables/table3.xml><?xml version="1.0" encoding="utf-8"?>
<x:table xmlns:x="http://schemas.openxmlformats.org/spreadsheetml/2006/main" id="3" name="BudgetTable" displayName="BudgetTable" ref="A1:E133" headerRowCount="1">
  <x:autoFilter ref="A1:E133"/>
  <x:tableColumns count="5">
    <x:tableColumn id="1" name="Month"/>
    <x:tableColumn id="2" name="Expense Category"/>
    <x:tableColumn id="3" name="Budget Allocated"/>
    <x:tableColumn id="4" name="Expense Type"/>
    <x:tableColumn id="5" name="Notes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a97e31464e41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2446d1ebf4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8e9530c08740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6eff5a2a8e844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6" customWidth="1"/>
    <x:col min="4" max="4" width="18" customWidth="1"/>
    <x:col min="5" max="5" width="13" customWidth="1"/>
    <x:col min="6" max="6" width="15" customWidth="1"/>
    <x:col min="7" max="7" width="12" customWidth="1"/>
    <x:col min="8" max="8" width="20" customWidth="1"/>
    <x:col min="9" max="9" width="12" customWidth="1"/>
    <x:col min="10" max="10" width="15" customWidth="1"/>
    <x:col min="11" max="11" width="15" customWidth="1"/>
    <x:col min="12" max="12" width="28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Month</x:t>
        </x:is>
      </x:c>
      <x:c r="C1" s="1" t="inlineStr">
        <x:is>
          <x:t xml:space="preserve">Income Source</x:t>
        </x:is>
      </x:c>
      <x:c r="D1" s="1" t="inlineStr">
        <x:is>
          <x:t xml:space="preserve">Expense Category</x:t>
        </x:is>
      </x:c>
      <x:c r="E1" s="1" t="inlineStr">
        <x:is>
          <x:t xml:space="preserve">Expense Type</x:t>
        </x:is>
      </x:c>
      <x:c r="F1" s="1" t="inlineStr">
        <x:is>
          <x:t xml:space="preserve">Payment Mode</x:t>
        </x:is>
      </x:c>
      <x:c r="G1" s="1" t="inlineStr">
        <x:is>
          <x:t xml:space="preserve">Amount</x:t>
        </x:is>
      </x:c>
      <x:c r="H1" s="1" t="inlineStr">
        <x:is>
          <x:t xml:space="preserve">Income/Expense Indicator</x:t>
        </x:is>
      </x:c>
      <x:c r="I1" s="1" t="inlineStr">
        <x:is>
          <x:t xml:space="preserve">Savings</x:t>
        </x:is>
      </x:c>
      <x:c r="J1" s="1" t="inlineStr">
        <x:is>
          <x:t xml:space="preserve">Budget Allocated</x:t>
        </x:is>
      </x:c>
      <x:c r="K1" s="1" t="inlineStr">
        <x:is>
          <x:t xml:space="preserve">Budget Remaining</x:t>
        </x:is>
      </x:c>
      <x:c r="L1" s="1" t="inlineStr">
        <x:is>
          <x:t xml:space="preserve">Notes</x:t>
        </x:is>
      </x:c>
    </x:row>
    <x:row r="2">
      <x:c r="A2" s="2" t="n">
        <x:v>46023</x:v>
      </x:c>
      <x:c r="B2" t="inlineStr">
        <x:is>
          <x:t xml:space="preserve">Jan-26</x:t>
        </x:is>
      </x:c>
      <x:c r="C2" t="inlineStr">
        <x:is>
          <x:t xml:space="preserve">Salary</x:t>
        </x:is>
      </x:c>
      <x:c r="D2" t="inlineStr">
        <x:is>
          <x:t xml:space="preserve"/>
        </x:is>
      </x:c>
      <x:c r="E2" t="inlineStr">
        <x:is>
          <x:t xml:space="preserve">N/A</x:t>
        </x:is>
      </x:c>
      <x:c r="F2" t="inlineStr">
        <x:is>
          <x:t xml:space="preserve">Bank Transfer</x:t>
        </x:is>
      </x:c>
      <x:c r="G2" s="3" t="n">
        <x:v>88796</x:v>
      </x:c>
      <x:c r="H2" s="4" t="inlineStr">
        <x:is>
          <x:t xml:space="preserve">Income</x:t>
        </x:is>
      </x:c>
      <x:c r="I2" s="3" t="n">
        <x:v>88796</x:v>
      </x:c>
      <x:c r="J2" s="3" t="n">
        <x:v>0</x:v>
      </x:c>
      <x:c r="K2" s="3" t="n">
        <x:v>0</x:v>
      </x:c>
      <x:c r="L2" t="inlineStr">
        <x:is>
          <x:t xml:space="preserve">Monthly salary credited</x:t>
        </x:is>
      </x:c>
    </x:row>
    <x:row r="3">
      <x:c r="A3" s="2" t="n">
        <x:v>46024</x:v>
      </x:c>
      <x:c r="B3" t="inlineStr">
        <x:is>
          <x:t xml:space="preserve">Jan-26</x:t>
        </x:is>
      </x:c>
      <x:c r="C3" t="inlineStr">
        <x:is>
          <x:t xml:space="preserve"/>
        </x:is>
      </x:c>
      <x:c r="D3" t="inlineStr">
        <x:is>
          <x:t xml:space="preserve">Rent</x:t>
        </x:is>
      </x:c>
      <x:c r="E3" t="inlineStr">
        <x:is>
          <x:t xml:space="preserve">Fixed</x:t>
        </x:is>
      </x:c>
      <x:c r="F3" t="inlineStr">
        <x:is>
          <x:t xml:space="preserve">Bank Transfer</x:t>
        </x:is>
      </x:c>
      <x:c r="G3" s="3" t="n">
        <x:v>28000</x:v>
      </x:c>
      <x:c r="H3" s="5" t="inlineStr">
        <x:is>
          <x:t xml:space="preserve">Expense</x:t>
        </x:is>
      </x:c>
      <x:c r="I3" s="3" t="n">
        <x:v>-28000</x:v>
      </x:c>
      <x:c r="J3" s="3" t="n">
        <x:v>28000</x:v>
      </x:c>
      <x:c r="K3" s="3" t="n">
        <x:v>0</x:v>
      </x:c>
      <x:c r="L3" t="inlineStr">
        <x:is>
          <x:t xml:space="preserve">House rent payment</x:t>
        </x:is>
      </x:c>
    </x:row>
    <x:row r="4">
      <x:c r="A4" s="2" t="n">
        <x:v>46027</x:v>
      </x:c>
      <x:c r="B4" t="inlineStr">
        <x:is>
          <x:t xml:space="preserve">Jan-26</x:t>
        </x:is>
      </x:c>
      <x:c r="C4" t="inlineStr">
        <x:is>
          <x:t xml:space="preserve"/>
        </x:is>
      </x:c>
      <x:c r="D4" t="inlineStr">
        <x:is>
          <x:t xml:space="preserve">EMI</x:t>
        </x:is>
      </x:c>
      <x:c r="E4" t="inlineStr">
        <x:is>
          <x:t xml:space="preserve">Fixed</x:t>
        </x:is>
      </x:c>
      <x:c r="F4" t="inlineStr">
        <x:is>
          <x:t xml:space="preserve">Bank Transfer</x:t>
        </x:is>
      </x:c>
      <x:c r="G4" s="3" t="n">
        <x:v>9000</x:v>
      </x:c>
      <x:c r="H4" s="5" t="inlineStr">
        <x:is>
          <x:t xml:space="preserve">Expense</x:t>
        </x:is>
      </x:c>
      <x:c r="I4" s="3" t="n">
        <x:v>-9000</x:v>
      </x:c>
      <x:c r="J4" s="3" t="n">
        <x:v>9000</x:v>
      </x:c>
      <x:c r="K4" s="3" t="n">
        <x:v>0</x:v>
      </x:c>
      <x:c r="L4" t="inlineStr">
        <x:is>
          <x:t xml:space="preserve">Personal loan EMI</x:t>
        </x:is>
      </x:c>
    </x:row>
    <x:row r="5">
      <x:c r="A5" s="2" t="n">
        <x:v>46029</x:v>
      </x:c>
      <x:c r="B5" t="inlineStr">
        <x:is>
          <x:t xml:space="preserve">Jan-26</x:t>
        </x:is>
      </x:c>
      <x:c r="C5" t="inlineStr">
        <x:is>
          <x:t xml:space="preserve"/>
        </x:is>
      </x:c>
      <x:c r="D5" t="inlineStr">
        <x:is>
          <x:t xml:space="preserve">Groceries</x:t>
        </x:is>
      </x:c>
      <x:c r="E5" t="inlineStr">
        <x:is>
          <x:t xml:space="preserve">Variable</x:t>
        </x:is>
      </x:c>
      <x:c r="F5" t="inlineStr">
        <x:is>
          <x:t xml:space="preserve">UPI</x:t>
        </x:is>
      </x:c>
      <x:c r="G5" s="3" t="n">
        <x:v>2896</x:v>
      </x:c>
      <x:c r="H5" s="5" t="inlineStr">
        <x:is>
          <x:t xml:space="preserve">Expense</x:t>
        </x:is>
      </x:c>
      <x:c r="I5" s="3" t="n">
        <x:v>-2896</x:v>
      </x:c>
      <x:c r="J5" s="3" t="n">
        <x:v>6451</x:v>
      </x:c>
      <x:c r="K5" s="3" t="n">
        <x:v>3555</x:v>
      </x:c>
      <x:c r="L5" t="inlineStr">
        <x:is>
          <x:t xml:space="preserve">Supermarket groceries</x:t>
        </x:is>
      </x:c>
    </x:row>
    <x:row r="6">
      <x:c r="A6" s="2" t="n">
        <x:v>46030</x:v>
      </x:c>
      <x:c r="B6" t="inlineStr">
        <x:is>
          <x:t xml:space="preserve">Jan-26</x:t>
        </x:is>
      </x:c>
      <x:c r="C6" t="inlineStr">
        <x:is>
          <x:t xml:space="preserve"/>
        </x:is>
      </x:c>
      <x:c r="D6" t="inlineStr">
        <x:is>
          <x:t xml:space="preserve">Utilities</x:t>
        </x:is>
      </x:c>
      <x:c r="E6" t="inlineStr">
        <x:is>
          <x:t xml:space="preserve">Fixed</x:t>
        </x:is>
      </x:c>
      <x:c r="F6" t="inlineStr">
        <x:is>
          <x:t xml:space="preserve">Bank Transfer</x:t>
        </x:is>
      </x:c>
      <x:c r="G6" s="3" t="n">
        <x:v>1741</x:v>
      </x:c>
      <x:c r="H6" s="5" t="inlineStr">
        <x:is>
          <x:t xml:space="preserve">Expense</x:t>
        </x:is>
      </x:c>
      <x:c r="I6" s="3" t="n">
        <x:v>-1741</x:v>
      </x:c>
      <x:c r="J6" s="3" t="n">
        <x:v>3901</x:v>
      </x:c>
      <x:c r="K6" s="3" t="n">
        <x:v>2160</x:v>
      </x:c>
      <x:c r="L6" t="inlineStr">
        <x:is>
          <x:t xml:space="preserve">Electricity bill</x:t>
        </x:is>
      </x:c>
    </x:row>
    <x:row r="7">
      <x:c r="A7" s="2" t="n">
        <x:v>46031</x:v>
      </x:c>
      <x:c r="B7" t="inlineStr">
        <x:is>
          <x:t xml:space="preserve">Jan-26</x:t>
        </x:is>
      </x:c>
      <x:c r="C7" t="inlineStr">
        <x:is>
          <x:t xml:space="preserve"/>
        </x:is>
      </x:c>
      <x:c r="D7" t="inlineStr">
        <x:is>
          <x:t xml:space="preserve">Insurance</x:t>
        </x:is>
      </x:c>
      <x:c r="E7" t="inlineStr">
        <x:is>
          <x:t xml:space="preserve">Fixed</x:t>
        </x:is>
      </x:c>
      <x:c r="F7" t="inlineStr">
        <x:is>
          <x:t xml:space="preserve">Bank Transfer</x:t>
        </x:is>
      </x:c>
      <x:c r="G7" s="3" t="n">
        <x:v>3500</x:v>
      </x:c>
      <x:c r="H7" s="5" t="inlineStr">
        <x:is>
          <x:t xml:space="preserve">Expense</x:t>
        </x:is>
      </x:c>
      <x:c r="I7" s="3" t="n">
        <x:v>-3500</x:v>
      </x:c>
      <x:c r="J7" s="3" t="n">
        <x:v>3500</x:v>
      </x:c>
      <x:c r="K7" s="3" t="n">
        <x:v>0</x:v>
      </x:c>
      <x:c r="L7" t="inlineStr">
        <x:is>
          <x:t xml:space="preserve">Health insurance premium</x:t>
        </x:is>
      </x:c>
    </x:row>
    <x:row r="8">
      <x:c r="A8" s="2" t="n">
        <x:v>46033</x:v>
      </x:c>
      <x:c r="B8" t="inlineStr">
        <x:is>
          <x:t xml:space="preserve">Jan-26</x:t>
        </x:is>
      </x:c>
      <x:c r="C8" t="inlineStr">
        <x:is>
          <x:t xml:space="preserve"/>
        </x:is>
      </x:c>
      <x:c r="D8" t="inlineStr">
        <x:is>
          <x:t xml:space="preserve">Utilities</x:t>
        </x:is>
      </x:c>
      <x:c r="E8" t="inlineStr">
        <x:is>
          <x:t xml:space="preserve">Fixed</x:t>
        </x:is>
      </x:c>
      <x:c r="F8" t="inlineStr">
        <x:is>
          <x:t xml:space="preserve">UPI</x:t>
        </x:is>
      </x:c>
      <x:c r="G8" s="3" t="n">
        <x:v>1721</x:v>
      </x:c>
      <x:c r="H8" s="5" t="inlineStr">
        <x:is>
          <x:t xml:space="preserve">Expense</x:t>
        </x:is>
      </x:c>
      <x:c r="I8" s="3" t="n">
        <x:v>-1721</x:v>
      </x:c>
      <x:c r="J8" s="3" t="n">
        <x:v>3901</x:v>
      </x:c>
      <x:c r="K8" s="3" t="n">
        <x:v>2180</x:v>
      </x:c>
      <x:c r="L8" t="inlineStr">
        <x:is>
          <x:t xml:space="preserve">Internet / mobile bill</x:t>
        </x:is>
      </x:c>
    </x:row>
    <x:row r="9">
      <x:c r="A9" s="2" t="n">
        <x:v>46034</x:v>
      </x:c>
      <x:c r="B9" t="inlineStr">
        <x:is>
          <x:t xml:space="preserve">Jan-26</x:t>
        </x:is>
      </x:c>
      <x:c r="C9" t="inlineStr">
        <x:is>
          <x:t xml:space="preserve"/>
        </x:is>
      </x:c>
      <x:c r="D9" t="inlineStr">
        <x:is>
          <x:t xml:space="preserve">Food</x:t>
        </x:is>
      </x:c>
      <x:c r="E9" t="inlineStr">
        <x:is>
          <x:t xml:space="preserve">Variable</x:t>
        </x:is>
      </x:c>
      <x:c r="F9" t="inlineStr">
        <x:is>
          <x:t xml:space="preserve">Cash</x:t>
        </x:is>
      </x:c>
      <x:c r="G9" s="3" t="n">
        <x:v>1527</x:v>
      </x:c>
      <x:c r="H9" s="5" t="inlineStr">
        <x:is>
          <x:t xml:space="preserve">Expense</x:t>
        </x:is>
      </x:c>
      <x:c r="I9" s="3" t="n">
        <x:v>-1527</x:v>
      </x:c>
      <x:c r="J9" s="3" t="n">
        <x:v>5963</x:v>
      </x:c>
      <x:c r="K9" s="3" t="n">
        <x:v>4436</x:v>
      </x:c>
      <x:c r="L9" t="inlineStr">
        <x:is>
          <x:t xml:space="preserve">Dining out / office lunch</x:t>
        </x:is>
      </x:c>
    </x:row>
    <x:row r="10">
      <x:c r="A10" s="2" t="n">
        <x:v>46038</x:v>
      </x:c>
      <x:c r="B10" t="inlineStr">
        <x:is>
          <x:t xml:space="preserve">Jan-26</x:t>
        </x:is>
      </x:c>
      <x:c r="C10" t="inlineStr">
        <x:is>
          <x:t xml:space="preserve"/>
        </x:is>
      </x:c>
      <x:c r="D10" t="inlineStr">
        <x:is>
          <x:t xml:space="preserve">Shopping</x:t>
        </x:is>
      </x:c>
      <x:c r="E10" t="inlineStr">
        <x:is>
          <x:t xml:space="preserve">Variable</x:t>
        </x:is>
      </x:c>
      <x:c r="F10" t="inlineStr">
        <x:is>
          <x:t xml:space="preserve">UPI</x:t>
        </x:is>
      </x:c>
      <x:c r="G10" s="3" t="n">
        <x:v>6381</x:v>
      </x:c>
      <x:c r="H10" s="5" t="inlineStr">
        <x:is>
          <x:t xml:space="preserve">Expense</x:t>
        </x:is>
      </x:c>
      <x:c r="I10" s="3" t="n">
        <x:v>-6381</x:v>
      </x:c>
      <x:c r="J10" s="3" t="n">
        <x:v>4857</x:v>
      </x:c>
      <x:c r="K10" s="3" t="n">
        <x:v>-1524</x:v>
      </x:c>
      <x:c r="L10" t="inlineStr">
        <x:is>
          <x:t xml:space="preserve">Apparel / lifestyle purchase</x:t>
        </x:is>
      </x:c>
    </x:row>
    <x:row r="11">
      <x:c r="A11" s="2" t="n">
        <x:v>46040</x:v>
      </x:c>
      <x:c r="B11" t="inlineStr">
        <x:is>
          <x:t xml:space="preserve">Jan-26</x:t>
        </x:is>
      </x:c>
      <x:c r="C11" t="inlineStr">
        <x:is>
          <x:t xml:space="preserve"/>
        </x:is>
      </x:c>
      <x:c r="D11" t="inlineStr">
        <x:is>
          <x:t xml:space="preserve">Entertainment</x:t>
        </x:is>
      </x:c>
      <x:c r="E11" t="inlineStr">
        <x:is>
          <x:t xml:space="preserve">Variable</x:t>
        </x:is>
      </x:c>
      <x:c r="F11" t="inlineStr">
        <x:is>
          <x:t xml:space="preserve">UPI</x:t>
        </x:is>
      </x:c>
      <x:c r="G11" s="3" t="n">
        <x:v>1688</x:v>
      </x:c>
      <x:c r="H11" s="5" t="inlineStr">
        <x:is>
          <x:t xml:space="preserve">Expense</x:t>
        </x:is>
      </x:c>
      <x:c r="I11" s="3" t="n">
        <x:v>-1688</x:v>
      </x:c>
      <x:c r="J11" s="3" t="n">
        <x:v>2609</x:v>
      </x:c>
      <x:c r="K11" s="3" t="n">
        <x:v>921</x:v>
      </x:c>
      <x:c r="L11" t="inlineStr">
        <x:is>
          <x:t xml:space="preserve">Movies / subscriptions</x:t>
        </x:is>
      </x:c>
    </x:row>
    <x:row r="12">
      <x:c r="A12" s="2" t="n">
        <x:v>46043</x:v>
      </x:c>
      <x:c r="B12" t="inlineStr">
        <x:is>
          <x:t xml:space="preserve">Jan-26</x:t>
        </x:is>
      </x:c>
      <x:c r="C12" t="inlineStr">
        <x:is>
          <x:t xml:space="preserve"/>
        </x:is>
      </x:c>
      <x:c r="D12" t="inlineStr">
        <x:is>
          <x:t xml:space="preserve">Groceries</x:t>
        </x:is>
      </x:c>
      <x:c r="E12" t="inlineStr">
        <x:is>
          <x:t xml:space="preserve">Variable</x:t>
        </x:is>
      </x:c>
      <x:c r="F12" t="inlineStr">
        <x:is>
          <x:t xml:space="preserve">Cash</x:t>
        </x:is>
      </x:c>
      <x:c r="G12" s="3" t="n">
        <x:v>3113</x:v>
      </x:c>
      <x:c r="H12" s="5" t="inlineStr">
        <x:is>
          <x:t xml:space="preserve">Expense</x:t>
        </x:is>
      </x:c>
      <x:c r="I12" s="3" t="n">
        <x:v>-3113</x:v>
      </x:c>
      <x:c r="J12" s="3" t="n">
        <x:v>6451</x:v>
      </x:c>
      <x:c r="K12" s="3" t="n">
        <x:v>3338</x:v>
      </x:c>
      <x:c r="L12" t="inlineStr">
        <x:is>
          <x:t xml:space="preserve">Monthly essentials restock</x:t>
        </x:is>
      </x:c>
    </x:row>
    <x:row r="13">
      <x:c r="A13" s="2" t="n">
        <x:v>46044</x:v>
      </x:c>
      <x:c r="B13" t="inlineStr">
        <x:is>
          <x:t xml:space="preserve">Jan-26</x:t>
        </x:is>
      </x:c>
      <x:c r="C13" t="inlineStr">
        <x:is>
          <x:t xml:space="preserve"/>
        </x:is>
      </x:c>
      <x:c r="D13" t="inlineStr">
        <x:is>
          <x:t xml:space="preserve">Healthcare</x:t>
        </x:is>
      </x:c>
      <x:c r="E13" t="inlineStr">
        <x:is>
          <x:t xml:space="preserve">Variable</x:t>
        </x:is>
      </x:c>
      <x:c r="F13" t="inlineStr">
        <x:is>
          <x:t xml:space="preserve">UPI</x:t>
        </x:is>
      </x:c>
      <x:c r="G13" s="3" t="n">
        <x:v>1993</x:v>
      </x:c>
      <x:c r="H13" s="5" t="inlineStr">
        <x:is>
          <x:t xml:space="preserve">Expense</x:t>
        </x:is>
      </x:c>
      <x:c r="I13" s="3" t="n">
        <x:v>-1993</x:v>
      </x:c>
      <x:c r="J13" s="3" t="n">
        <x:v>3785</x:v>
      </x:c>
      <x:c r="K13" s="3" t="n">
        <x:v>1792</x:v>
      </x:c>
      <x:c r="L13" t="inlineStr">
        <x:is>
          <x:t xml:space="preserve">Health and wellness spend</x:t>
        </x:is>
      </x:c>
    </x:row>
    <x:row r="14">
      <x:c r="A14" s="2" t="n">
        <x:v>46047</x:v>
      </x:c>
      <x:c r="B14" t="inlineStr">
        <x:is>
          <x:t xml:space="preserve">Jan-26</x:t>
        </x:is>
      </x:c>
      <x:c r="C14" t="inlineStr">
        <x:is>
          <x:t xml:space="preserve"/>
        </x:is>
      </x:c>
      <x:c r="D14" t="inlineStr">
        <x:is>
          <x:t xml:space="preserve">Food</x:t>
        </x:is>
      </x:c>
      <x:c r="E14" t="inlineStr">
        <x:is>
          <x:t xml:space="preserve">Variable</x:t>
        </x:is>
      </x:c>
      <x:c r="F14" t="inlineStr">
        <x:is>
          <x:t xml:space="preserve">Cash</x:t>
        </x:is>
      </x:c>
      <x:c r="G14" s="3" t="n">
        <x:v>2064</x:v>
      </x:c>
      <x:c r="H14" s="5" t="inlineStr">
        <x:is>
          <x:t xml:space="preserve">Expense</x:t>
        </x:is>
      </x:c>
      <x:c r="I14" s="3" t="n">
        <x:v>-2064</x:v>
      </x:c>
      <x:c r="J14" s="3" t="n">
        <x:v>5963</x:v>
      </x:c>
      <x:c r="K14" s="3" t="n">
        <x:v>3899</x:v>
      </x:c>
      <x:c r="L14" t="inlineStr">
        <x:is>
          <x:t xml:space="preserve">Weekend food order</x:t>
        </x:is>
      </x:c>
    </x:row>
    <x:row r="15">
      <x:c r="A15" s="2" t="n">
        <x:v>46049</x:v>
      </x:c>
      <x:c r="B15" t="inlineStr">
        <x:is>
          <x:t xml:space="preserve">Jan-26</x:t>
        </x:is>
      </x:c>
      <x:c r="C15" t="inlineStr">
        <x:is>
          <x:t xml:space="preserve"/>
        </x:is>
      </x:c>
      <x:c r="D15" t="inlineStr">
        <x:is>
          <x:t xml:space="preserve">Travel</x:t>
        </x:is>
      </x:c>
      <x:c r="E15" t="inlineStr">
        <x:is>
          <x:t xml:space="preserve">Variable</x:t>
        </x:is>
      </x:c>
      <x:c r="F15" t="inlineStr">
        <x:is>
          <x:t xml:space="preserve">Cash</x:t>
        </x:is>
      </x:c>
      <x:c r="G15" s="3" t="n">
        <x:v>3859</x:v>
      </x:c>
      <x:c r="H15" s="5" t="inlineStr">
        <x:is>
          <x:t xml:space="preserve">Expense</x:t>
        </x:is>
      </x:c>
      <x:c r="I15" s="3" t="n">
        <x:v>-3859</x:v>
      </x:c>
      <x:c r="J15" s="3" t="n">
        <x:v>4185</x:v>
      </x:c>
      <x:c r="K15" s="3" t="n">
        <x:v>326</x:v>
      </x:c>
      <x:c r="L15" t="inlineStr">
        <x:is>
          <x:t xml:space="preserve">Cab / fuel / local travel</x:t>
        </x:is>
      </x:c>
    </x:row>
    <x:row r="16">
      <x:c r="A16" s="2" t="n">
        <x:v>46054</x:v>
      </x:c>
      <x:c r="B16" t="inlineStr">
        <x:is>
          <x:t xml:space="preserve">Feb-26</x:t>
        </x:is>
      </x:c>
      <x:c r="C16" t="inlineStr">
        <x:is>
          <x:t xml:space="preserve">Salary</x:t>
        </x:is>
      </x:c>
      <x:c r="D16" t="inlineStr">
        <x:is>
          <x:t xml:space="preserve"/>
        </x:is>
      </x:c>
      <x:c r="E16" t="inlineStr">
        <x:is>
          <x:t xml:space="preserve">N/A</x:t>
        </x:is>
      </x:c>
      <x:c r="F16" t="inlineStr">
        <x:is>
          <x:t xml:space="preserve">Bank Transfer</x:t>
        </x:is>
      </x:c>
      <x:c r="G16" s="3" t="n">
        <x:v>92904</x:v>
      </x:c>
      <x:c r="H16" s="4" t="inlineStr">
        <x:is>
          <x:t xml:space="preserve">Income</x:t>
        </x:is>
      </x:c>
      <x:c r="I16" s="3" t="n">
        <x:v>92904</x:v>
      </x:c>
      <x:c r="J16" s="3" t="n">
        <x:v>0</x:v>
      </x:c>
      <x:c r="K16" s="3" t="n">
        <x:v>0</x:v>
      </x:c>
      <x:c r="L16" t="inlineStr">
        <x:is>
          <x:t xml:space="preserve">Monthly salary credited</x:t>
        </x:is>
      </x:c>
    </x:row>
    <x:row r="17">
      <x:c r="A17" s="2" t="n">
        <x:v>46055</x:v>
      </x:c>
      <x:c r="B17" t="inlineStr">
        <x:is>
          <x:t xml:space="preserve">Feb-26</x:t>
        </x:is>
      </x:c>
      <x:c r="C17" t="inlineStr">
        <x:is>
          <x:t xml:space="preserve"/>
        </x:is>
      </x:c>
      <x:c r="D17" t="inlineStr">
        <x:is>
          <x:t xml:space="preserve">Rent</x:t>
        </x:is>
      </x:c>
      <x:c r="E17" t="inlineStr">
        <x:is>
          <x:t xml:space="preserve">Fixed</x:t>
        </x:is>
      </x:c>
      <x:c r="F17" t="inlineStr">
        <x:is>
          <x:t xml:space="preserve">Bank Transfer</x:t>
        </x:is>
      </x:c>
      <x:c r="G17" s="3" t="n">
        <x:v>28000</x:v>
      </x:c>
      <x:c r="H17" s="5" t="inlineStr">
        <x:is>
          <x:t xml:space="preserve">Expense</x:t>
        </x:is>
      </x:c>
      <x:c r="I17" s="3" t="n">
        <x:v>-28000</x:v>
      </x:c>
      <x:c r="J17" s="3" t="n">
        <x:v>28000</x:v>
      </x:c>
      <x:c r="K17" s="3" t="n">
        <x:v>0</x:v>
      </x:c>
      <x:c r="L17" t="inlineStr">
        <x:is>
          <x:t xml:space="preserve">House rent payment</x:t>
        </x:is>
      </x:c>
    </x:row>
    <x:row r="18">
      <x:c r="A18" s="2" t="n">
        <x:v>46058</x:v>
      </x:c>
      <x:c r="B18" t="inlineStr">
        <x:is>
          <x:t xml:space="preserve">Feb-26</x:t>
        </x:is>
      </x:c>
      <x:c r="C18" t="inlineStr">
        <x:is>
          <x:t xml:space="preserve"/>
        </x:is>
      </x:c>
      <x:c r="D18" t="inlineStr">
        <x:is>
          <x:t xml:space="preserve">EMI</x:t>
        </x:is>
      </x:c>
      <x:c r="E18" t="inlineStr">
        <x:is>
          <x:t xml:space="preserve">Fixed</x:t>
        </x:is>
      </x:c>
      <x:c r="F18" t="inlineStr">
        <x:is>
          <x:t xml:space="preserve">Bank Transfer</x:t>
        </x:is>
      </x:c>
      <x:c r="G18" s="3" t="n">
        <x:v>9000</x:v>
      </x:c>
      <x:c r="H18" s="5" t="inlineStr">
        <x:is>
          <x:t xml:space="preserve">Expense</x:t>
        </x:is>
      </x:c>
      <x:c r="I18" s="3" t="n">
        <x:v>-9000</x:v>
      </x:c>
      <x:c r="J18" s="3" t="n">
        <x:v>9000</x:v>
      </x:c>
      <x:c r="K18" s="3" t="n">
        <x:v>0</x:v>
      </x:c>
      <x:c r="L18" t="inlineStr">
        <x:is>
          <x:t xml:space="preserve">Personal loan EMI</x:t>
        </x:is>
      </x:c>
    </x:row>
    <x:row r="19">
      <x:c r="A19" s="2" t="n">
        <x:v>46060</x:v>
      </x:c>
      <x:c r="B19" t="inlineStr">
        <x:is>
          <x:t xml:space="preserve">Feb-26</x:t>
        </x:is>
      </x:c>
      <x:c r="C19" t="inlineStr">
        <x:is>
          <x:t xml:space="preserve"/>
        </x:is>
      </x:c>
      <x:c r="D19" t="inlineStr">
        <x:is>
          <x:t xml:space="preserve">Groceries</x:t>
        </x:is>
      </x:c>
      <x:c r="E19" t="inlineStr">
        <x:is>
          <x:t xml:space="preserve">Variable</x:t>
        </x:is>
      </x:c>
      <x:c r="F19" t="inlineStr">
        <x:is>
          <x:t xml:space="preserve">Credit Card</x:t>
        </x:is>
      </x:c>
      <x:c r="G19" s="3" t="n">
        <x:v>3401</x:v>
      </x:c>
      <x:c r="H19" s="5" t="inlineStr">
        <x:is>
          <x:t xml:space="preserve">Expense</x:t>
        </x:is>
      </x:c>
      <x:c r="I19" s="3" t="n">
        <x:v>-3401</x:v>
      </x:c>
      <x:c r="J19" s="3" t="n">
        <x:v>6465</x:v>
      </x:c>
      <x:c r="K19" s="3" t="n">
        <x:v>3064</x:v>
      </x:c>
      <x:c r="L19" t="inlineStr">
        <x:is>
          <x:t xml:space="preserve">Supermarket groceries</x:t>
        </x:is>
      </x:c>
    </x:row>
    <x:row r="20">
      <x:c r="A20" s="2" t="n">
        <x:v>46061</x:v>
      </x:c>
      <x:c r="B20" t="inlineStr">
        <x:is>
          <x:t xml:space="preserve">Feb-26</x:t>
        </x:is>
      </x:c>
      <x:c r="C20" t="inlineStr">
        <x:is>
          <x:t xml:space="preserve"/>
        </x:is>
      </x:c>
      <x:c r="D20" t="inlineStr">
        <x:is>
          <x:t xml:space="preserve">Utilities</x:t>
        </x:is>
      </x:c>
      <x:c r="E20" t="inlineStr">
        <x:is>
          <x:t xml:space="preserve">Fixed</x:t>
        </x:is>
      </x:c>
      <x:c r="F20" t="inlineStr">
        <x:is>
          <x:t xml:space="preserve">Bank Transfer</x:t>
        </x:is>
      </x:c>
      <x:c r="G20" s="3" t="n">
        <x:v>2387</x:v>
      </x:c>
      <x:c r="H20" s="5" t="inlineStr">
        <x:is>
          <x:t xml:space="preserve">Expense</x:t>
        </x:is>
      </x:c>
      <x:c r="I20" s="3" t="n">
        <x:v>-2387</x:v>
      </x:c>
      <x:c r="J20" s="3" t="n">
        <x:v>3591</x:v>
      </x:c>
      <x:c r="K20" s="3" t="n">
        <x:v>1204</x:v>
      </x:c>
      <x:c r="L20" t="inlineStr">
        <x:is>
          <x:t xml:space="preserve">Electricity bill</x:t>
        </x:is>
      </x:c>
    </x:row>
    <x:row r="21">
      <x:c r="A21" s="2" t="n">
        <x:v>46064</x:v>
      </x:c>
      <x:c r="B21" t="inlineStr">
        <x:is>
          <x:t xml:space="preserve">Feb-26</x:t>
        </x:is>
      </x:c>
      <x:c r="C21" t="inlineStr">
        <x:is>
          <x:t xml:space="preserve"/>
        </x:is>
      </x:c>
      <x:c r="D21" t="inlineStr">
        <x:is>
          <x:t xml:space="preserve">Utilities</x:t>
        </x:is>
      </x:c>
      <x:c r="E21" t="inlineStr">
        <x:is>
          <x:t xml:space="preserve">Fixed</x:t>
        </x:is>
      </x:c>
      <x:c r="F21" t="inlineStr">
        <x:is>
          <x:t xml:space="preserve">UPI</x:t>
        </x:is>
      </x:c>
      <x:c r="G21" s="3" t="n">
        <x:v>1856</x:v>
      </x:c>
      <x:c r="H21" s="5" t="inlineStr">
        <x:is>
          <x:t xml:space="preserve">Expense</x:t>
        </x:is>
      </x:c>
      <x:c r="I21" s="3" t="n">
        <x:v>-1856</x:v>
      </x:c>
      <x:c r="J21" s="3" t="n">
        <x:v>3591</x:v>
      </x:c>
      <x:c r="K21" s="3" t="n">
        <x:v>1735</x:v>
      </x:c>
      <x:c r="L21" t="inlineStr">
        <x:is>
          <x:t xml:space="preserve">Internet / mobile bill</x:t>
        </x:is>
      </x:c>
    </x:row>
    <x:row r="22">
      <x:c r="A22" s="2" t="n">
        <x:v>46065</x:v>
      </x:c>
      <x:c r="B22" t="inlineStr">
        <x:is>
          <x:t xml:space="preserve">Feb-26</x:t>
        </x:is>
      </x:c>
      <x:c r="C22" t="inlineStr">
        <x:is>
          <x:t xml:space="preserve"/>
        </x:is>
      </x:c>
      <x:c r="D22" t="inlineStr">
        <x:is>
          <x:t xml:space="preserve">Food</x:t>
        </x:is>
      </x:c>
      <x:c r="E22" t="inlineStr">
        <x:is>
          <x:t xml:space="preserve">Variable</x:t>
        </x:is>
      </x:c>
      <x:c r="F22" t="inlineStr">
        <x:is>
          <x:t xml:space="preserve">Cash</x:t>
        </x:is>
      </x:c>
      <x:c r="G22" s="3" t="n">
        <x:v>1206</x:v>
      </x:c>
      <x:c r="H22" s="5" t="inlineStr">
        <x:is>
          <x:t xml:space="preserve">Expense</x:t>
        </x:is>
      </x:c>
      <x:c r="I22" s="3" t="n">
        <x:v>-1206</x:v>
      </x:c>
      <x:c r="J22" s="3" t="n">
        <x:v>5461</x:v>
      </x:c>
      <x:c r="K22" s="3" t="n">
        <x:v>4255</x:v>
      </x:c>
      <x:c r="L22" t="inlineStr">
        <x:is>
          <x:t xml:space="preserve">Dining out / office lunch</x:t>
        </x:is>
      </x:c>
    </x:row>
    <x:row r="23">
      <x:c r="A23" s="2" t="n">
        <x:v>46069</x:v>
      </x:c>
      <x:c r="B23" t="inlineStr">
        <x:is>
          <x:t xml:space="preserve">Feb-26</x:t>
        </x:is>
      </x:c>
      <x:c r="C23" t="inlineStr">
        <x:is>
          <x:t xml:space="preserve"/>
        </x:is>
      </x:c>
      <x:c r="D23" t="inlineStr">
        <x:is>
          <x:t xml:space="preserve">Shopping</x:t>
        </x:is>
      </x:c>
      <x:c r="E23" t="inlineStr">
        <x:is>
          <x:t xml:space="preserve">Variable</x:t>
        </x:is>
      </x:c>
      <x:c r="F23" t="inlineStr">
        <x:is>
          <x:t xml:space="preserve">Credit Card</x:t>
        </x:is>
      </x:c>
      <x:c r="G23" s="3" t="n">
        <x:v>5658</x:v>
      </x:c>
      <x:c r="H23" s="5" t="inlineStr">
        <x:is>
          <x:t xml:space="preserve">Expense</x:t>
        </x:is>
      </x:c>
      <x:c r="I23" s="3" t="n">
        <x:v>-5658</x:v>
      </x:c>
      <x:c r="J23" s="3" t="n">
        <x:v>4847</x:v>
      </x:c>
      <x:c r="K23" s="3" t="n">
        <x:v>-811</x:v>
      </x:c>
      <x:c r="L23" t="inlineStr">
        <x:is>
          <x:t xml:space="preserve">Apparel / lifestyle purchase</x:t>
        </x:is>
      </x:c>
    </x:row>
    <x:row r="24">
      <x:c r="A24" s="2" t="n">
        <x:v>46071</x:v>
      </x:c>
      <x:c r="B24" t="inlineStr">
        <x:is>
          <x:t xml:space="preserve">Feb-26</x:t>
        </x:is>
      </x:c>
      <x:c r="C24" t="inlineStr">
        <x:is>
          <x:t xml:space="preserve"/>
        </x:is>
      </x:c>
      <x:c r="D24" t="inlineStr">
        <x:is>
          <x:t xml:space="preserve">Entertainment</x:t>
        </x:is>
      </x:c>
      <x:c r="E24" t="inlineStr">
        <x:is>
          <x:t xml:space="preserve">Variable</x:t>
        </x:is>
      </x:c>
      <x:c r="F24" t="inlineStr">
        <x:is>
          <x:t xml:space="preserve">Cash</x:t>
        </x:is>
      </x:c>
      <x:c r="G24" s="3" t="n">
        <x:v>2460</x:v>
      </x:c>
      <x:c r="H24" s="5" t="inlineStr">
        <x:is>
          <x:t xml:space="preserve">Expense</x:t>
        </x:is>
      </x:c>
      <x:c r="I24" s="3" t="n">
        <x:v>-2460</x:v>
      </x:c>
      <x:c r="J24" s="3" t="n">
        <x:v>3434</x:v>
      </x:c>
      <x:c r="K24" s="3" t="n">
        <x:v>974</x:v>
      </x:c>
      <x:c r="L24" t="inlineStr">
        <x:is>
          <x:t xml:space="preserve">Movies / subscriptions</x:t>
        </x:is>
      </x:c>
    </x:row>
    <x:row r="25">
      <x:c r="A25" s="2" t="n">
        <x:v>46074</x:v>
      </x:c>
      <x:c r="B25" t="inlineStr">
        <x:is>
          <x:t xml:space="preserve">Feb-26</x:t>
        </x:is>
      </x:c>
      <x:c r="C25" t="inlineStr">
        <x:is>
          <x:t xml:space="preserve"/>
        </x:is>
      </x:c>
      <x:c r="D25" t="inlineStr">
        <x:is>
          <x:t xml:space="preserve">Groceries</x:t>
        </x:is>
      </x:c>
      <x:c r="E25" t="inlineStr">
        <x:is>
          <x:t xml:space="preserve">Variable</x:t>
        </x:is>
      </x:c>
      <x:c r="F25" t="inlineStr">
        <x:is>
          <x:t xml:space="preserve">Credit Card</x:t>
        </x:is>
      </x:c>
      <x:c r="G25" s="3" t="n">
        <x:v>3123</x:v>
      </x:c>
      <x:c r="H25" s="5" t="inlineStr">
        <x:is>
          <x:t xml:space="preserve">Expense</x:t>
        </x:is>
      </x:c>
      <x:c r="I25" s="3" t="n">
        <x:v>-3123</x:v>
      </x:c>
      <x:c r="J25" s="3" t="n">
        <x:v>6465</x:v>
      </x:c>
      <x:c r="K25" s="3" t="n">
        <x:v>3342</x:v>
      </x:c>
      <x:c r="L25" t="inlineStr">
        <x:is>
          <x:t xml:space="preserve">Monthly essentials restock</x:t>
        </x:is>
      </x:c>
    </x:row>
    <x:row r="26">
      <x:c r="A26" s="2" t="n">
        <x:v>46078</x:v>
      </x:c>
      <x:c r="B26" t="inlineStr">
        <x:is>
          <x:t xml:space="preserve">Feb-26</x:t>
        </x:is>
      </x:c>
      <x:c r="C26" t="inlineStr">
        <x:is>
          <x:t xml:space="preserve">Freelance</x:t>
        </x:is>
      </x:c>
      <x:c r="D26" t="inlineStr">
        <x:is>
          <x:t xml:space="preserve"/>
        </x:is>
      </x:c>
      <x:c r="E26" t="inlineStr">
        <x:is>
          <x:t xml:space="preserve">N/A</x:t>
        </x:is>
      </x:c>
      <x:c r="F26" t="inlineStr">
        <x:is>
          <x:t xml:space="preserve">Bank Transfer</x:t>
        </x:is>
      </x:c>
      <x:c r="G26" s="3" t="n">
        <x:v>13876</x:v>
      </x:c>
      <x:c r="H26" s="4" t="inlineStr">
        <x:is>
          <x:t xml:space="preserve">Income</x:t>
        </x:is>
      </x:c>
      <x:c r="I26" s="3" t="n">
        <x:v>13876</x:v>
      </x:c>
      <x:c r="J26" s="3" t="n">
        <x:v>0</x:v>
      </x:c>
      <x:c r="K26" s="3" t="n">
        <x:v>0</x:v>
      </x:c>
      <x:c r="L26" t="inlineStr">
        <x:is>
          <x:t xml:space="preserve">Freelance project payment</x:t>
        </x:is>
      </x:c>
    </x:row>
    <x:row r="27">
      <x:c r="A27" s="2" t="n">
        <x:v>46078</x:v>
      </x:c>
      <x:c r="B27" t="inlineStr">
        <x:is>
          <x:t xml:space="preserve">Feb-26</x:t>
        </x:is>
      </x:c>
      <x:c r="C27" t="inlineStr">
        <x:is>
          <x:t xml:space="preserve"/>
        </x:is>
      </x:c>
      <x:c r="D27" t="inlineStr">
        <x:is>
          <x:t xml:space="preserve">Food</x:t>
        </x:is>
      </x:c>
      <x:c r="E27" t="inlineStr">
        <x:is>
          <x:t xml:space="preserve">Variable</x:t>
        </x:is>
      </x:c>
      <x:c r="F27" t="inlineStr">
        <x:is>
          <x:t xml:space="preserve">Credit Card</x:t>
        </x:is>
      </x:c>
      <x:c r="G27" s="3" t="n">
        <x:v>2673</x:v>
      </x:c>
      <x:c r="H27" s="5" t="inlineStr">
        <x:is>
          <x:t xml:space="preserve">Expense</x:t>
        </x:is>
      </x:c>
      <x:c r="I27" s="3" t="n">
        <x:v>-2673</x:v>
      </x:c>
      <x:c r="J27" s="3" t="n">
        <x:v>5461</x:v>
      </x:c>
      <x:c r="K27" s="3" t="n">
        <x:v>2788</x:v>
      </x:c>
      <x:c r="L27" t="inlineStr">
        <x:is>
          <x:t xml:space="preserve">Weekend food order</x:t>
        </x:is>
      </x:c>
    </x:row>
    <x:row r="28">
      <x:c r="A28" s="2" t="n">
        <x:v>46079</x:v>
      </x:c>
      <x:c r="B28" t="inlineStr">
        <x:is>
          <x:t xml:space="preserve">Feb-26</x:t>
        </x:is>
      </x:c>
      <x:c r="C28" t="inlineStr">
        <x:is>
          <x:t xml:space="preserve"/>
        </x:is>
      </x:c>
      <x:c r="D28" t="inlineStr">
        <x:is>
          <x:t xml:space="preserve">Education</x:t>
        </x:is>
      </x:c>
      <x:c r="E28" t="inlineStr">
        <x:is>
          <x:t xml:space="preserve">Variable</x:t>
        </x:is>
      </x:c>
      <x:c r="F28" t="inlineStr">
        <x:is>
          <x:t xml:space="preserve">Bank Transfer</x:t>
        </x:is>
      </x:c>
      <x:c r="G28" s="3" t="n">
        <x:v>3022</x:v>
      </x:c>
      <x:c r="H28" s="5" t="inlineStr">
        <x:is>
          <x:t xml:space="preserve">Expense</x:t>
        </x:is>
      </x:c>
      <x:c r="I28" s="3" t="n">
        <x:v>-3022</x:v>
      </x:c>
      <x:c r="J28" s="3" t="n">
        <x:v>3049</x:v>
      </x:c>
      <x:c r="K28" s="3" t="n">
        <x:v>27</x:v>
      </x:c>
      <x:c r="L28" t="inlineStr">
        <x:is>
          <x:t xml:space="preserve">Course / books / certification</x:t>
        </x:is>
      </x:c>
    </x:row>
    <x:row r="29">
      <x:c r="A29" s="2" t="n">
        <x:v>46081</x:v>
      </x:c>
      <x:c r="B29" t="inlineStr">
        <x:is>
          <x:t xml:space="preserve">Feb-26</x:t>
        </x:is>
      </x:c>
      <x:c r="C29" t="inlineStr">
        <x:is>
          <x:t xml:space="preserve"/>
        </x:is>
      </x:c>
      <x:c r="D29" t="inlineStr">
        <x:is>
          <x:t xml:space="preserve">Healthcare</x:t>
        </x:is>
      </x:c>
      <x:c r="E29" t="inlineStr">
        <x:is>
          <x:t xml:space="preserve">Variable</x:t>
        </x:is>
      </x:c>
      <x:c r="F29" t="inlineStr">
        <x:is>
          <x:t xml:space="preserve">UPI</x:t>
        </x:is>
      </x:c>
      <x:c r="G29" s="3" t="n">
        <x:v>4765</x:v>
      </x:c>
      <x:c r="H29" s="5" t="inlineStr">
        <x:is>
          <x:t xml:space="preserve">Expense</x:t>
        </x:is>
      </x:c>
      <x:c r="I29" s="3" t="n">
        <x:v>-4765</x:v>
      </x:c>
      <x:c r="J29" s="3" t="n">
        <x:v>3632</x:v>
      </x:c>
      <x:c r="K29" s="3" t="n">
        <x:v>-1133</x:v>
      </x:c>
      <x:c r="L29" t="inlineStr">
        <x:is>
          <x:t xml:space="preserve">Medicines / doctor consultation</x:t>
        </x:is>
      </x:c>
    </x:row>
    <x:row r="30">
      <x:c r="A30" s="2" t="n">
        <x:v>46082</x:v>
      </x:c>
      <x:c r="B30" t="inlineStr">
        <x:is>
          <x:t xml:space="preserve">Mar-26</x:t>
        </x:is>
      </x:c>
      <x:c r="C30" t="inlineStr">
        <x:is>
          <x:t xml:space="preserve">Salary</x:t>
        </x:is>
      </x:c>
      <x:c r="D30" t="inlineStr">
        <x:is>
          <x:t xml:space="preserve"/>
        </x:is>
      </x:c>
      <x:c r="E30" t="inlineStr">
        <x:is>
          <x:t xml:space="preserve">N/A</x:t>
        </x:is>
      </x:c>
      <x:c r="F30" t="inlineStr">
        <x:is>
          <x:t xml:space="preserve">Bank Transfer</x:t>
        </x:is>
      </x:c>
      <x:c r="G30" s="3" t="n">
        <x:v>93894</x:v>
      </x:c>
      <x:c r="H30" s="4" t="inlineStr">
        <x:is>
          <x:t xml:space="preserve">Income</x:t>
        </x:is>
      </x:c>
      <x:c r="I30" s="3" t="n">
        <x:v>93894</x:v>
      </x:c>
      <x:c r="J30" s="3" t="n">
        <x:v>0</x:v>
      </x:c>
      <x:c r="K30" s="3" t="n">
        <x:v>0</x:v>
      </x:c>
      <x:c r="L30" t="inlineStr">
        <x:is>
          <x:t xml:space="preserve">Monthly salary credited</x:t>
        </x:is>
      </x:c>
    </x:row>
    <x:row r="31">
      <x:c r="A31" s="2" t="n">
        <x:v>46083</x:v>
      </x:c>
      <x:c r="B31" t="inlineStr">
        <x:is>
          <x:t xml:space="preserve">Mar-26</x:t>
        </x:is>
      </x:c>
      <x:c r="C31" t="inlineStr">
        <x:is>
          <x:t xml:space="preserve"/>
        </x:is>
      </x:c>
      <x:c r="D31" t="inlineStr">
        <x:is>
          <x:t xml:space="preserve">Rent</x:t>
        </x:is>
      </x:c>
      <x:c r="E31" t="inlineStr">
        <x:is>
          <x:t xml:space="preserve">Fixed</x:t>
        </x:is>
      </x:c>
      <x:c r="F31" t="inlineStr">
        <x:is>
          <x:t xml:space="preserve">Bank Transfer</x:t>
        </x:is>
      </x:c>
      <x:c r="G31" s="3" t="n">
        <x:v>28000</x:v>
      </x:c>
      <x:c r="H31" s="5" t="inlineStr">
        <x:is>
          <x:t xml:space="preserve">Expense</x:t>
        </x:is>
      </x:c>
      <x:c r="I31" s="3" t="n">
        <x:v>-28000</x:v>
      </x:c>
      <x:c r="J31" s="3" t="n">
        <x:v>28000</x:v>
      </x:c>
      <x:c r="K31" s="3" t="n">
        <x:v>0</x:v>
      </x:c>
      <x:c r="L31" t="inlineStr">
        <x:is>
          <x:t xml:space="preserve">House rent payment</x:t>
        </x:is>
      </x:c>
    </x:row>
    <x:row r="32">
      <x:c r="A32" s="2" t="n">
        <x:v>46086</x:v>
      </x:c>
      <x:c r="B32" t="inlineStr">
        <x:is>
          <x:t xml:space="preserve">Mar-26</x:t>
        </x:is>
      </x:c>
      <x:c r="C32" t="inlineStr">
        <x:is>
          <x:t xml:space="preserve"/>
        </x:is>
      </x:c>
      <x:c r="D32" t="inlineStr">
        <x:is>
          <x:t xml:space="preserve">EMI</x:t>
        </x:is>
      </x:c>
      <x:c r="E32" t="inlineStr">
        <x:is>
          <x:t xml:space="preserve">Fixed</x:t>
        </x:is>
      </x:c>
      <x:c r="F32" t="inlineStr">
        <x:is>
          <x:t xml:space="preserve">Bank Transfer</x:t>
        </x:is>
      </x:c>
      <x:c r="G32" s="3" t="n">
        <x:v>9000</x:v>
      </x:c>
      <x:c r="H32" s="5" t="inlineStr">
        <x:is>
          <x:t xml:space="preserve">Expense</x:t>
        </x:is>
      </x:c>
      <x:c r="I32" s="3" t="n">
        <x:v>-9000</x:v>
      </x:c>
      <x:c r="J32" s="3" t="n">
        <x:v>9000</x:v>
      </x:c>
      <x:c r="K32" s="3" t="n">
        <x:v>0</x:v>
      </x:c>
      <x:c r="L32" t="inlineStr">
        <x:is>
          <x:t xml:space="preserve">Personal loan EMI</x:t>
        </x:is>
      </x:c>
    </x:row>
    <x:row r="33">
      <x:c r="A33" s="2" t="n">
        <x:v>46088</x:v>
      </x:c>
      <x:c r="B33" t="inlineStr">
        <x:is>
          <x:t xml:space="preserve">Mar-26</x:t>
        </x:is>
      </x:c>
      <x:c r="C33" t="inlineStr">
        <x:is>
          <x:t xml:space="preserve"/>
        </x:is>
      </x:c>
      <x:c r="D33" t="inlineStr">
        <x:is>
          <x:t xml:space="preserve">Groceries</x:t>
        </x:is>
      </x:c>
      <x:c r="E33" t="inlineStr">
        <x:is>
          <x:t xml:space="preserve">Variable</x:t>
        </x:is>
      </x:c>
      <x:c r="F33" t="inlineStr">
        <x:is>
          <x:t xml:space="preserve">Credit Card</x:t>
        </x:is>
      </x:c>
      <x:c r="G33" s="3" t="n">
        <x:v>4026</x:v>
      </x:c>
      <x:c r="H33" s="5" t="inlineStr">
        <x:is>
          <x:t xml:space="preserve">Expense</x:t>
        </x:is>
      </x:c>
      <x:c r="I33" s="3" t="n">
        <x:v>-4026</x:v>
      </x:c>
      <x:c r="J33" s="3" t="n">
        <x:v>7730</x:v>
      </x:c>
      <x:c r="K33" s="3" t="n">
        <x:v>3704</x:v>
      </x:c>
      <x:c r="L33" t="inlineStr">
        <x:is>
          <x:t xml:space="preserve">Supermarket groceries</x:t>
        </x:is>
      </x:c>
    </x:row>
    <x:row r="34">
      <x:c r="A34" s="2" t="n">
        <x:v>46089</x:v>
      </x:c>
      <x:c r="B34" t="inlineStr">
        <x:is>
          <x:t xml:space="preserve">Mar-26</x:t>
        </x:is>
      </x:c>
      <x:c r="C34" t="inlineStr">
        <x:is>
          <x:t xml:space="preserve"/>
        </x:is>
      </x:c>
      <x:c r="D34" t="inlineStr">
        <x:is>
          <x:t xml:space="preserve">Utilities</x:t>
        </x:is>
      </x:c>
      <x:c r="E34" t="inlineStr">
        <x:is>
          <x:t xml:space="preserve">Fixed</x:t>
        </x:is>
      </x:c>
      <x:c r="F34" t="inlineStr">
        <x:is>
          <x:t xml:space="preserve">UPI</x:t>
        </x:is>
      </x:c>
      <x:c r="G34" s="3" t="n">
        <x:v>1756</x:v>
      </x:c>
      <x:c r="H34" s="5" t="inlineStr">
        <x:is>
          <x:t xml:space="preserve">Expense</x:t>
        </x:is>
      </x:c>
      <x:c r="I34" s="3" t="n">
        <x:v>-1756</x:v>
      </x:c>
      <x:c r="J34" s="3" t="n">
        <x:v>4516</x:v>
      </x:c>
      <x:c r="K34" s="3" t="n">
        <x:v>2760</x:v>
      </x:c>
      <x:c r="L34" t="inlineStr">
        <x:is>
          <x:t xml:space="preserve">Electricity bill</x:t>
        </x:is>
      </x:c>
    </x:row>
    <x:row r="35">
      <x:c r="A35" s="2" t="n">
        <x:v>46092</x:v>
      </x:c>
      <x:c r="B35" t="inlineStr">
        <x:is>
          <x:t xml:space="preserve">Mar-26</x:t>
        </x:is>
      </x:c>
      <x:c r="C35" t="inlineStr">
        <x:is>
          <x:t xml:space="preserve"/>
        </x:is>
      </x:c>
      <x:c r="D35" t="inlineStr">
        <x:is>
          <x:t xml:space="preserve">Utilities</x:t>
        </x:is>
      </x:c>
      <x:c r="E35" t="inlineStr">
        <x:is>
          <x:t xml:space="preserve">Fixed</x:t>
        </x:is>
      </x:c>
      <x:c r="F35" t="inlineStr">
        <x:is>
          <x:t xml:space="preserve">UPI</x:t>
        </x:is>
      </x:c>
      <x:c r="G35" s="3" t="n">
        <x:v>1582</x:v>
      </x:c>
      <x:c r="H35" s="5" t="inlineStr">
        <x:is>
          <x:t xml:space="preserve">Expense</x:t>
        </x:is>
      </x:c>
      <x:c r="I35" s="3" t="n">
        <x:v>-1582</x:v>
      </x:c>
      <x:c r="J35" s="3" t="n">
        <x:v>4516</x:v>
      </x:c>
      <x:c r="K35" s="3" t="n">
        <x:v>2934</x:v>
      </x:c>
      <x:c r="L35" t="inlineStr">
        <x:is>
          <x:t xml:space="preserve">Internet / mobile bill</x:t>
        </x:is>
      </x:c>
    </x:row>
    <x:row r="36">
      <x:c r="A36" s="2" t="n">
        <x:v>46093</x:v>
      </x:c>
      <x:c r="B36" t="inlineStr">
        <x:is>
          <x:t xml:space="preserve">Mar-26</x:t>
        </x:is>
      </x:c>
      <x:c r="C36" t="inlineStr">
        <x:is>
          <x:t xml:space="preserve"/>
        </x:is>
      </x:c>
      <x:c r="D36" t="inlineStr">
        <x:is>
          <x:t xml:space="preserve">Food</x:t>
        </x:is>
      </x:c>
      <x:c r="E36" t="inlineStr">
        <x:is>
          <x:t xml:space="preserve">Variable</x:t>
        </x:is>
      </x:c>
      <x:c r="F36" t="inlineStr">
        <x:is>
          <x:t xml:space="preserve">Credit Card</x:t>
        </x:is>
      </x:c>
      <x:c r="G36" s="3" t="n">
        <x:v>1429</x:v>
      </x:c>
      <x:c r="H36" s="5" t="inlineStr">
        <x:is>
          <x:t xml:space="preserve">Expense</x:t>
        </x:is>
      </x:c>
      <x:c r="I36" s="3" t="n">
        <x:v>-1429</x:v>
      </x:c>
      <x:c r="J36" s="3" t="n">
        <x:v>6836</x:v>
      </x:c>
      <x:c r="K36" s="3" t="n">
        <x:v>5407</x:v>
      </x:c>
      <x:c r="L36" t="inlineStr">
        <x:is>
          <x:t xml:space="preserve">Dining out / office lunch</x:t>
        </x:is>
      </x:c>
    </x:row>
    <x:row r="37">
      <x:c r="A37" s="2" t="n">
        <x:v>46097</x:v>
      </x:c>
      <x:c r="B37" t="inlineStr">
        <x:is>
          <x:t xml:space="preserve">Mar-26</x:t>
        </x:is>
      </x:c>
      <x:c r="C37" t="inlineStr">
        <x:is>
          <x:t xml:space="preserve"/>
        </x:is>
      </x:c>
      <x:c r="D37" t="inlineStr">
        <x:is>
          <x:t xml:space="preserve">Shopping</x:t>
        </x:is>
      </x:c>
      <x:c r="E37" t="inlineStr">
        <x:is>
          <x:t xml:space="preserve">Variable</x:t>
        </x:is>
      </x:c>
      <x:c r="F37" t="inlineStr">
        <x:is>
          <x:t xml:space="preserve">Credit Card</x:t>
        </x:is>
      </x:c>
      <x:c r="G37" s="3" t="n">
        <x:v>2201</x:v>
      </x:c>
      <x:c r="H37" s="5" t="inlineStr">
        <x:is>
          <x:t xml:space="preserve">Expense</x:t>
        </x:is>
      </x:c>
      <x:c r="I37" s="3" t="n">
        <x:v>-2201</x:v>
      </x:c>
      <x:c r="J37" s="3" t="n">
        <x:v>5259</x:v>
      </x:c>
      <x:c r="K37" s="3" t="n">
        <x:v>3058</x:v>
      </x:c>
      <x:c r="L37" t="inlineStr">
        <x:is>
          <x:t xml:space="preserve">Apparel / lifestyle purchase</x:t>
        </x:is>
      </x:c>
    </x:row>
    <x:row r="38">
      <x:c r="A38" s="2" t="n">
        <x:v>46099</x:v>
      </x:c>
      <x:c r="B38" t="inlineStr">
        <x:is>
          <x:t xml:space="preserve">Mar-26</x:t>
        </x:is>
      </x:c>
      <x:c r="C38" t="inlineStr">
        <x:is>
          <x:t xml:space="preserve"/>
        </x:is>
      </x:c>
      <x:c r="D38" t="inlineStr">
        <x:is>
          <x:t xml:space="preserve">Entertainment</x:t>
        </x:is>
      </x:c>
      <x:c r="E38" t="inlineStr">
        <x:is>
          <x:t xml:space="preserve">Variable</x:t>
        </x:is>
      </x:c>
      <x:c r="F38" t="inlineStr">
        <x:is>
          <x:t xml:space="preserve">UPI</x:t>
        </x:is>
      </x:c>
      <x:c r="G38" s="3" t="n">
        <x:v>1393</x:v>
      </x:c>
      <x:c r="H38" s="5" t="inlineStr">
        <x:is>
          <x:t xml:space="preserve">Expense</x:t>
        </x:is>
      </x:c>
      <x:c r="I38" s="3" t="n">
        <x:v>-1393</x:v>
      </x:c>
      <x:c r="J38" s="3" t="n">
        <x:v>3319</x:v>
      </x:c>
      <x:c r="K38" s="3" t="n">
        <x:v>1926</x:v>
      </x:c>
      <x:c r="L38" t="inlineStr">
        <x:is>
          <x:t xml:space="preserve">Movies / subscriptions</x:t>
        </x:is>
      </x:c>
    </x:row>
    <x:row r="39">
      <x:c r="A39" s="2" t="n">
        <x:v>46100</x:v>
      </x:c>
      <x:c r="B39" t="inlineStr">
        <x:is>
          <x:t xml:space="preserve">Mar-26</x:t>
        </x:is>
      </x:c>
      <x:c r="C39" t="inlineStr">
        <x:is>
          <x:t xml:space="preserve">Business</x:t>
        </x:is>
      </x:c>
      <x:c r="D39" t="inlineStr">
        <x:is>
          <x:t xml:space="preserve"/>
        </x:is>
      </x:c>
      <x:c r="E39" t="inlineStr">
        <x:is>
          <x:t xml:space="preserve">N/A</x:t>
        </x:is>
      </x:c>
      <x:c r="F39" t="inlineStr">
        <x:is>
          <x:t xml:space="preserve">Bank Transfer</x:t>
        </x:is>
      </x:c>
      <x:c r="G39" s="3" t="n">
        <x:v>23317</x:v>
      </x:c>
      <x:c r="H39" s="4" t="inlineStr">
        <x:is>
          <x:t xml:space="preserve">Income</x:t>
        </x:is>
      </x:c>
      <x:c r="I39" s="3" t="n">
        <x:v>23317</x:v>
      </x:c>
      <x:c r="J39" s="3" t="n">
        <x:v>0</x:v>
      </x:c>
      <x:c r="K39" s="3" t="n">
        <x:v>0</x:v>
      </x:c>
      <x:c r="L39" t="inlineStr">
        <x:is>
          <x:t xml:space="preserve">Small business side income</x:t>
        </x:is>
      </x:c>
    </x:row>
    <x:row r="40">
      <x:c r="A40" s="2" t="n">
        <x:v>46102</x:v>
      </x:c>
      <x:c r="B40" t="inlineStr">
        <x:is>
          <x:t xml:space="preserve">Mar-26</x:t>
        </x:is>
      </x:c>
      <x:c r="C40" t="inlineStr">
        <x:is>
          <x:t xml:space="preserve"/>
        </x:is>
      </x:c>
      <x:c r="D40" t="inlineStr">
        <x:is>
          <x:t xml:space="preserve">Groceries</x:t>
        </x:is>
      </x:c>
      <x:c r="E40" t="inlineStr">
        <x:is>
          <x:t xml:space="preserve">Variable</x:t>
        </x:is>
      </x:c>
      <x:c r="F40" t="inlineStr">
        <x:is>
          <x:t xml:space="preserve">UPI</x:t>
        </x:is>
      </x:c>
      <x:c r="G40" s="3" t="n">
        <x:v>3800</x:v>
      </x:c>
      <x:c r="H40" s="5" t="inlineStr">
        <x:is>
          <x:t xml:space="preserve">Expense</x:t>
        </x:is>
      </x:c>
      <x:c r="I40" s="3" t="n">
        <x:v>-3800</x:v>
      </x:c>
      <x:c r="J40" s="3" t="n">
        <x:v>7730</x:v>
      </x:c>
      <x:c r="K40" s="3" t="n">
        <x:v>3930</x:v>
      </x:c>
      <x:c r="L40" t="inlineStr">
        <x:is>
          <x:t xml:space="preserve">Monthly essentials restock</x:t>
        </x:is>
      </x:c>
    </x:row>
    <x:row r="41">
      <x:c r="A41" s="2" t="n">
        <x:v>46106</x:v>
      </x:c>
      <x:c r="B41" t="inlineStr">
        <x:is>
          <x:t xml:space="preserve">Mar-26</x:t>
        </x:is>
      </x:c>
      <x:c r="C41" t="inlineStr">
        <x:is>
          <x:t xml:space="preserve"/>
        </x:is>
      </x:c>
      <x:c r="D41" t="inlineStr">
        <x:is>
          <x:t xml:space="preserve">Food</x:t>
        </x:is>
      </x:c>
      <x:c r="E41" t="inlineStr">
        <x:is>
          <x:t xml:space="preserve">Variable</x:t>
        </x:is>
      </x:c>
      <x:c r="F41" t="inlineStr">
        <x:is>
          <x:t xml:space="preserve">UPI</x:t>
        </x:is>
      </x:c>
      <x:c r="G41" s="3" t="n">
        <x:v>1829</x:v>
      </x:c>
      <x:c r="H41" s="5" t="inlineStr">
        <x:is>
          <x:t xml:space="preserve">Expense</x:t>
        </x:is>
      </x:c>
      <x:c r="I41" s="3" t="n">
        <x:v>-1829</x:v>
      </x:c>
      <x:c r="J41" s="3" t="n">
        <x:v>6836</x:v>
      </x:c>
      <x:c r="K41" s="3" t="n">
        <x:v>5007</x:v>
      </x:c>
      <x:c r="L41" t="inlineStr">
        <x:is>
          <x:t xml:space="preserve">Weekend food order</x:t>
        </x:is>
      </x:c>
    </x:row>
    <x:row r="42">
      <x:c r="A42" s="2" t="n">
        <x:v>46107</x:v>
      </x:c>
      <x:c r="B42" t="inlineStr">
        <x:is>
          <x:t xml:space="preserve">Mar-26</x:t>
        </x:is>
      </x:c>
      <x:c r="C42" t="inlineStr">
        <x:is>
          <x:t xml:space="preserve"/>
        </x:is>
      </x:c>
      <x:c r="D42" t="inlineStr">
        <x:is>
          <x:t xml:space="preserve">Healthcare</x:t>
        </x:is>
      </x:c>
      <x:c r="E42" t="inlineStr">
        <x:is>
          <x:t xml:space="preserve">Variable</x:t>
        </x:is>
      </x:c>
      <x:c r="F42" t="inlineStr">
        <x:is>
          <x:t xml:space="preserve">Credit Card</x:t>
        </x:is>
      </x:c>
      <x:c r="G42" s="3" t="n">
        <x:v>862</x:v>
      </x:c>
      <x:c r="H42" s="5" t="inlineStr">
        <x:is>
          <x:t xml:space="preserve">Expense</x:t>
        </x:is>
      </x:c>
      <x:c r="I42" s="3" t="n">
        <x:v>-862</x:v>
      </x:c>
      <x:c r="J42" s="3" t="n">
        <x:v>3606</x:v>
      </x:c>
      <x:c r="K42" s="3" t="n">
        <x:v>2744</x:v>
      </x:c>
      <x:c r="L42" t="inlineStr">
        <x:is>
          <x:t xml:space="preserve">Health and wellness spend</x:t>
        </x:is>
      </x:c>
    </x:row>
    <x:row r="43">
      <x:c r="A43" s="2" t="n">
        <x:v>46108</x:v>
      </x:c>
      <x:c r="B43" t="inlineStr">
        <x:is>
          <x:t xml:space="preserve">Mar-26</x:t>
        </x:is>
      </x:c>
      <x:c r="C43" t="inlineStr">
        <x:is>
          <x:t xml:space="preserve">Interest</x:t>
        </x:is>
      </x:c>
      <x:c r="D43" t="inlineStr">
        <x:is>
          <x:t xml:space="preserve"/>
        </x:is>
      </x:c>
      <x:c r="E43" t="inlineStr">
        <x:is>
          <x:t xml:space="preserve">N/A</x:t>
        </x:is>
      </x:c>
      <x:c r="F43" t="inlineStr">
        <x:is>
          <x:t xml:space="preserve">Bank Transfer</x:t>
        </x:is>
      </x:c>
      <x:c r="G43" s="3" t="n">
        <x:v>2207</x:v>
      </x:c>
      <x:c r="H43" s="4" t="inlineStr">
        <x:is>
          <x:t xml:space="preserve">Income</x:t>
        </x:is>
      </x:c>
      <x:c r="I43" s="3" t="n">
        <x:v>2207</x:v>
      </x:c>
      <x:c r="J43" s="3" t="n">
        <x:v>0</x:v>
      </x:c>
      <x:c r="K43" s="3" t="n">
        <x:v>0</x:v>
      </x:c>
      <x:c r="L43" t="inlineStr">
        <x:is>
          <x:t xml:space="preserve">Interest from savings / FD</x:t>
        </x:is>
      </x:c>
    </x:row>
    <x:row r="44">
      <x:c r="A44" s="2" t="n">
        <x:v>46109</x:v>
      </x:c>
      <x:c r="B44" t="inlineStr">
        <x:is>
          <x:t xml:space="preserve">Mar-26</x:t>
        </x:is>
      </x:c>
      <x:c r="C44" t="inlineStr">
        <x:is>
          <x:t xml:space="preserve"/>
        </x:is>
      </x:c>
      <x:c r="D44" t="inlineStr">
        <x:is>
          <x:t xml:space="preserve">Travel</x:t>
        </x:is>
      </x:c>
      <x:c r="E44" t="inlineStr">
        <x:is>
          <x:t xml:space="preserve">Variable</x:t>
        </x:is>
      </x:c>
      <x:c r="F44" t="inlineStr">
        <x:is>
          <x:t xml:space="preserve">Credit Card</x:t>
        </x:is>
      </x:c>
      <x:c r="G44" s="3" t="n">
        <x:v>6163</x:v>
      </x:c>
      <x:c r="H44" s="5" t="inlineStr">
        <x:is>
          <x:t xml:space="preserve">Expense</x:t>
        </x:is>
      </x:c>
      <x:c r="I44" s="3" t="n">
        <x:v>-6163</x:v>
      </x:c>
      <x:c r="J44" s="3" t="n">
        <x:v>4351</x:v>
      </x:c>
      <x:c r="K44" s="3" t="n">
        <x:v>-1812</x:v>
      </x:c>
      <x:c r="L44" t="inlineStr">
        <x:is>
          <x:t xml:space="preserve">Cab / fuel / local travel</x:t>
        </x:is>
      </x:c>
    </x:row>
    <x:row r="45">
      <x:c r="A45" s="2" t="n">
        <x:v>46113</x:v>
      </x:c>
      <x:c r="B45" t="inlineStr">
        <x:is>
          <x:t xml:space="preserve">Apr-26</x:t>
        </x:is>
      </x:c>
      <x:c r="C45" t="inlineStr">
        <x:is>
          <x:t xml:space="preserve">Salary</x:t>
        </x:is>
      </x:c>
      <x:c r="D45" t="inlineStr">
        <x:is>
          <x:t xml:space="preserve"/>
        </x:is>
      </x:c>
      <x:c r="E45" t="inlineStr">
        <x:is>
          <x:t xml:space="preserve">N/A</x:t>
        </x:is>
      </x:c>
      <x:c r="F45" t="inlineStr">
        <x:is>
          <x:t xml:space="preserve">Bank Transfer</x:t>
        </x:is>
      </x:c>
      <x:c r="G45" s="3" t="n">
        <x:v>92404</x:v>
      </x:c>
      <x:c r="H45" s="4" t="inlineStr">
        <x:is>
          <x:t xml:space="preserve">Income</x:t>
        </x:is>
      </x:c>
      <x:c r="I45" s="3" t="n">
        <x:v>92404</x:v>
      </x:c>
      <x:c r="J45" s="3" t="n">
        <x:v>0</x:v>
      </x:c>
      <x:c r="K45" s="3" t="n">
        <x:v>0</x:v>
      </x:c>
      <x:c r="L45" t="inlineStr">
        <x:is>
          <x:t xml:space="preserve">Monthly salary credited</x:t>
        </x:is>
      </x:c>
    </x:row>
    <x:row r="46">
      <x:c r="A46" s="2" t="n">
        <x:v>46114</x:v>
      </x:c>
      <x:c r="B46" t="inlineStr">
        <x:is>
          <x:t xml:space="preserve">Apr-26</x:t>
        </x:is>
      </x:c>
      <x:c r="C46" t="inlineStr">
        <x:is>
          <x:t xml:space="preserve"/>
        </x:is>
      </x:c>
      <x:c r="D46" t="inlineStr">
        <x:is>
          <x:t xml:space="preserve">Rent</x:t>
        </x:is>
      </x:c>
      <x:c r="E46" t="inlineStr">
        <x:is>
          <x:t xml:space="preserve">Fixed</x:t>
        </x:is>
      </x:c>
      <x:c r="F46" t="inlineStr">
        <x:is>
          <x:t xml:space="preserve">Bank Transfer</x:t>
        </x:is>
      </x:c>
      <x:c r="G46" s="3" t="n">
        <x:v>28000</x:v>
      </x:c>
      <x:c r="H46" s="5" t="inlineStr">
        <x:is>
          <x:t xml:space="preserve">Expense</x:t>
        </x:is>
      </x:c>
      <x:c r="I46" s="3" t="n">
        <x:v>-28000</x:v>
      </x:c>
      <x:c r="J46" s="3" t="n">
        <x:v>28000</x:v>
      </x:c>
      <x:c r="K46" s="3" t="n">
        <x:v>0</x:v>
      </x:c>
      <x:c r="L46" t="inlineStr">
        <x:is>
          <x:t xml:space="preserve">House rent payment</x:t>
        </x:is>
      </x:c>
    </x:row>
    <x:row r="47">
      <x:c r="A47" s="2" t="n">
        <x:v>46117</x:v>
      </x:c>
      <x:c r="B47" t="inlineStr">
        <x:is>
          <x:t xml:space="preserve">Apr-26</x:t>
        </x:is>
      </x:c>
      <x:c r="C47" t="inlineStr">
        <x:is>
          <x:t xml:space="preserve"/>
        </x:is>
      </x:c>
      <x:c r="D47" t="inlineStr">
        <x:is>
          <x:t xml:space="preserve">EMI</x:t>
        </x:is>
      </x:c>
      <x:c r="E47" t="inlineStr">
        <x:is>
          <x:t xml:space="preserve">Fixed</x:t>
        </x:is>
      </x:c>
      <x:c r="F47" t="inlineStr">
        <x:is>
          <x:t xml:space="preserve">Bank Transfer</x:t>
        </x:is>
      </x:c>
      <x:c r="G47" s="3" t="n">
        <x:v>9000</x:v>
      </x:c>
      <x:c r="H47" s="5" t="inlineStr">
        <x:is>
          <x:t xml:space="preserve">Expense</x:t>
        </x:is>
      </x:c>
      <x:c r="I47" s="3" t="n">
        <x:v>-9000</x:v>
      </x:c>
      <x:c r="J47" s="3" t="n">
        <x:v>9000</x:v>
      </x:c>
      <x:c r="K47" s="3" t="n">
        <x:v>0</x:v>
      </x:c>
      <x:c r="L47" t="inlineStr">
        <x:is>
          <x:t xml:space="preserve">Personal loan EMI</x:t>
        </x:is>
      </x:c>
    </x:row>
    <x:row r="48">
      <x:c r="A48" s="2" t="n">
        <x:v>46119</x:v>
      </x:c>
      <x:c r="B48" t="inlineStr">
        <x:is>
          <x:t xml:space="preserve">Apr-26</x:t>
        </x:is>
      </x:c>
      <x:c r="C48" t="inlineStr">
        <x:is>
          <x:t xml:space="preserve"/>
        </x:is>
      </x:c>
      <x:c r="D48" t="inlineStr">
        <x:is>
          <x:t xml:space="preserve">Groceries</x:t>
        </x:is>
      </x:c>
      <x:c r="E48" t="inlineStr">
        <x:is>
          <x:t xml:space="preserve">Variable</x:t>
        </x:is>
      </x:c>
      <x:c r="F48" t="inlineStr">
        <x:is>
          <x:t xml:space="preserve">Cash</x:t>
        </x:is>
      </x:c>
      <x:c r="G48" s="3" t="n">
        <x:v>3904</x:v>
      </x:c>
      <x:c r="H48" s="5" t="inlineStr">
        <x:is>
          <x:t xml:space="preserve">Expense</x:t>
        </x:is>
      </x:c>
      <x:c r="I48" s="3" t="n">
        <x:v>-3904</x:v>
      </x:c>
      <x:c r="J48" s="3" t="n">
        <x:v>7265</x:v>
      </x:c>
      <x:c r="K48" s="3" t="n">
        <x:v>3361</x:v>
      </x:c>
      <x:c r="L48" t="inlineStr">
        <x:is>
          <x:t xml:space="preserve">Supermarket groceries</x:t>
        </x:is>
      </x:c>
    </x:row>
    <x:row r="49">
      <x:c r="A49" s="2" t="n">
        <x:v>46120</x:v>
      </x:c>
      <x:c r="B49" t="inlineStr">
        <x:is>
          <x:t xml:space="preserve">Apr-26</x:t>
        </x:is>
      </x:c>
      <x:c r="C49" t="inlineStr">
        <x:is>
          <x:t xml:space="preserve"/>
        </x:is>
      </x:c>
      <x:c r="D49" t="inlineStr">
        <x:is>
          <x:t xml:space="preserve">Utilities</x:t>
        </x:is>
      </x:c>
      <x:c r="E49" t="inlineStr">
        <x:is>
          <x:t xml:space="preserve">Fixed</x:t>
        </x:is>
      </x:c>
      <x:c r="F49" t="inlineStr">
        <x:is>
          <x:t xml:space="preserve">Bank Transfer</x:t>
        </x:is>
      </x:c>
      <x:c r="G49" s="3" t="n">
        <x:v>1871</x:v>
      </x:c>
      <x:c r="H49" s="5" t="inlineStr">
        <x:is>
          <x:t xml:space="preserve">Expense</x:t>
        </x:is>
      </x:c>
      <x:c r="I49" s="3" t="n">
        <x:v>-1871</x:v>
      </x:c>
      <x:c r="J49" s="3" t="n">
        <x:v>3969</x:v>
      </x:c>
      <x:c r="K49" s="3" t="n">
        <x:v>2098</x:v>
      </x:c>
      <x:c r="L49" t="inlineStr">
        <x:is>
          <x:t xml:space="preserve">Electricity bill</x:t>
        </x:is>
      </x:c>
    </x:row>
    <x:row r="50">
      <x:c r="A50" s="2" t="n">
        <x:v>46121</x:v>
      </x:c>
      <x:c r="B50" t="inlineStr">
        <x:is>
          <x:t xml:space="preserve">Apr-26</x:t>
        </x:is>
      </x:c>
      <x:c r="C50" t="inlineStr">
        <x:is>
          <x:t xml:space="preserve"/>
        </x:is>
      </x:c>
      <x:c r="D50" t="inlineStr">
        <x:is>
          <x:t xml:space="preserve">Insurance</x:t>
        </x:is>
      </x:c>
      <x:c r="E50" t="inlineStr">
        <x:is>
          <x:t xml:space="preserve">Fixed</x:t>
        </x:is>
      </x:c>
      <x:c r="F50" t="inlineStr">
        <x:is>
          <x:t xml:space="preserve">Bank Transfer</x:t>
        </x:is>
      </x:c>
      <x:c r="G50" s="3" t="n">
        <x:v>3500</x:v>
      </x:c>
      <x:c r="H50" s="5" t="inlineStr">
        <x:is>
          <x:t xml:space="preserve">Expense</x:t>
        </x:is>
      </x:c>
      <x:c r="I50" s="3" t="n">
        <x:v>-3500</x:v>
      </x:c>
      <x:c r="J50" s="3" t="n">
        <x:v>3500</x:v>
      </x:c>
      <x:c r="K50" s="3" t="n">
        <x:v>0</x:v>
      </x:c>
      <x:c r="L50" t="inlineStr">
        <x:is>
          <x:t xml:space="preserve">Health insurance premium</x:t>
        </x:is>
      </x:c>
    </x:row>
    <x:row r="51">
      <x:c r="A51" s="2" t="n">
        <x:v>46123</x:v>
      </x:c>
      <x:c r="B51" t="inlineStr">
        <x:is>
          <x:t xml:space="preserve">Apr-26</x:t>
        </x:is>
      </x:c>
      <x:c r="C51" t="inlineStr">
        <x:is>
          <x:t xml:space="preserve"/>
        </x:is>
      </x:c>
      <x:c r="D51" t="inlineStr">
        <x:is>
          <x:t xml:space="preserve">Utilities</x:t>
        </x:is>
      </x:c>
      <x:c r="E51" t="inlineStr">
        <x:is>
          <x:t xml:space="preserve">Fixed</x:t>
        </x:is>
      </x:c>
      <x:c r="F51" t="inlineStr">
        <x:is>
          <x:t xml:space="preserve">UPI</x:t>
        </x:is>
      </x:c>
      <x:c r="G51" s="3" t="n">
        <x:v>1740</x:v>
      </x:c>
      <x:c r="H51" s="5" t="inlineStr">
        <x:is>
          <x:t xml:space="preserve">Expense</x:t>
        </x:is>
      </x:c>
      <x:c r="I51" s="3" t="n">
        <x:v>-1740</x:v>
      </x:c>
      <x:c r="J51" s="3" t="n">
        <x:v>3969</x:v>
      </x:c>
      <x:c r="K51" s="3" t="n">
        <x:v>2229</x:v>
      </x:c>
      <x:c r="L51" t="inlineStr">
        <x:is>
          <x:t xml:space="preserve">Internet / mobile bill</x:t>
        </x:is>
      </x:c>
    </x:row>
    <x:row r="52">
      <x:c r="A52" s="2" t="n">
        <x:v>46124</x:v>
      </x:c>
      <x:c r="B52" t="inlineStr">
        <x:is>
          <x:t xml:space="preserve">Apr-26</x:t>
        </x:is>
      </x:c>
      <x:c r="C52" t="inlineStr">
        <x:is>
          <x:t xml:space="preserve"/>
        </x:is>
      </x:c>
      <x:c r="D52" t="inlineStr">
        <x:is>
          <x:t xml:space="preserve">Food</x:t>
        </x:is>
      </x:c>
      <x:c r="E52" t="inlineStr">
        <x:is>
          <x:t xml:space="preserve">Variable</x:t>
        </x:is>
      </x:c>
      <x:c r="F52" t="inlineStr">
        <x:is>
          <x:t xml:space="preserve">Credit Card</x:t>
        </x:is>
      </x:c>
      <x:c r="G52" s="3" t="n">
        <x:v>2660</x:v>
      </x:c>
      <x:c r="H52" s="5" t="inlineStr">
        <x:is>
          <x:t xml:space="preserve">Expense</x:t>
        </x:is>
      </x:c>
      <x:c r="I52" s="3" t="n">
        <x:v>-2660</x:v>
      </x:c>
      <x:c r="J52" s="3" t="n">
        <x:v>6096</x:v>
      </x:c>
      <x:c r="K52" s="3" t="n">
        <x:v>3436</x:v>
      </x:c>
      <x:c r="L52" t="inlineStr">
        <x:is>
          <x:t xml:space="preserve">Dining out / office lunch</x:t>
        </x:is>
      </x:c>
    </x:row>
    <x:row r="53">
      <x:c r="A53" s="2" t="n">
        <x:v>46126</x:v>
      </x:c>
      <x:c r="B53" t="inlineStr">
        <x:is>
          <x:t xml:space="preserve">Apr-26</x:t>
        </x:is>
      </x:c>
      <x:c r="C53" t="inlineStr">
        <x:is>
          <x:t xml:space="preserve"/>
        </x:is>
      </x:c>
      <x:c r="D53" t="inlineStr">
        <x:is>
          <x:t xml:space="preserve">Healthcare</x:t>
        </x:is>
      </x:c>
      <x:c r="E53" t="inlineStr">
        <x:is>
          <x:t xml:space="preserve">Variable</x:t>
        </x:is>
      </x:c>
      <x:c r="F53" t="inlineStr">
        <x:is>
          <x:t xml:space="preserve">Credit Card</x:t>
        </x:is>
      </x:c>
      <x:c r="G53" s="3" t="n">
        <x:v>1805</x:v>
      </x:c>
      <x:c r="H53" s="5" t="inlineStr">
        <x:is>
          <x:t xml:space="preserve">Expense</x:t>
        </x:is>
      </x:c>
      <x:c r="I53" s="3" t="n">
        <x:v>-1805</x:v>
      </x:c>
      <x:c r="J53" s="3" t="n">
        <x:v>2609</x:v>
      </x:c>
      <x:c r="K53" s="3" t="n">
        <x:v>804</x:v>
      </x:c>
      <x:c r="L53" t="inlineStr">
        <x:is>
          <x:t xml:space="preserve">Health and wellness spend</x:t>
        </x:is>
      </x:c>
    </x:row>
    <x:row r="54">
      <x:c r="A54" s="2" t="n">
        <x:v>46128</x:v>
      </x:c>
      <x:c r="B54" t="inlineStr">
        <x:is>
          <x:t xml:space="preserve">Apr-26</x:t>
        </x:is>
      </x:c>
      <x:c r="C54" t="inlineStr">
        <x:is>
          <x:t xml:space="preserve"/>
        </x:is>
      </x:c>
      <x:c r="D54" t="inlineStr">
        <x:is>
          <x:t xml:space="preserve">Shopping</x:t>
        </x:is>
      </x:c>
      <x:c r="E54" t="inlineStr">
        <x:is>
          <x:t xml:space="preserve">Variable</x:t>
        </x:is>
      </x:c>
      <x:c r="F54" t="inlineStr">
        <x:is>
          <x:t xml:space="preserve">UPI</x:t>
        </x:is>
      </x:c>
      <x:c r="G54" s="3" t="n">
        <x:v>5739</x:v>
      </x:c>
      <x:c r="H54" s="5" t="inlineStr">
        <x:is>
          <x:t xml:space="preserve">Expense</x:t>
        </x:is>
      </x:c>
      <x:c r="I54" s="3" t="n">
        <x:v>-5739</x:v>
      </x:c>
      <x:c r="J54" s="3" t="n">
        <x:v>4718</x:v>
      </x:c>
      <x:c r="K54" s="3" t="n">
        <x:v>-1021</x:v>
      </x:c>
      <x:c r="L54" t="inlineStr">
        <x:is>
          <x:t xml:space="preserve">Apparel / lifestyle purchase</x:t>
        </x:is>
      </x:c>
    </x:row>
    <x:row r="55">
      <x:c r="A55" s="2" t="n">
        <x:v>46128</x:v>
      </x:c>
      <x:c r="B55" t="inlineStr">
        <x:is>
          <x:t xml:space="preserve">Apr-26</x:t>
        </x:is>
      </x:c>
      <x:c r="C55" t="inlineStr">
        <x:is>
          <x:t xml:space="preserve"/>
        </x:is>
      </x:c>
      <x:c r="D55" t="inlineStr">
        <x:is>
          <x:t xml:space="preserve">Travel</x:t>
        </x:is>
      </x:c>
      <x:c r="E55" t="inlineStr">
        <x:is>
          <x:t xml:space="preserve">Variable</x:t>
        </x:is>
      </x:c>
      <x:c r="F55" t="inlineStr">
        <x:is>
          <x:t xml:space="preserve">Credit Card</x:t>
        </x:is>
      </x:c>
      <x:c r="G55" s="3" t="n">
        <x:v>7269</x:v>
      </x:c>
      <x:c r="H55" s="5" t="inlineStr">
        <x:is>
          <x:t xml:space="preserve">Expense</x:t>
        </x:is>
      </x:c>
      <x:c r="I55" s="3" t="n">
        <x:v>-7269</x:v>
      </x:c>
      <x:c r="J55" s="3" t="n">
        <x:v>4340</x:v>
      </x:c>
      <x:c r="K55" s="3" t="n">
        <x:v>-2929</x:v>
      </x:c>
      <x:c r="L55" t="inlineStr">
        <x:is>
          <x:t xml:space="preserve">Short trip / weekend getaway</x:t>
        </x:is>
      </x:c>
    </x:row>
    <x:row r="56">
      <x:c r="A56" s="2" t="n">
        <x:v>46130</x:v>
      </x:c>
      <x:c r="B56" t="inlineStr">
        <x:is>
          <x:t xml:space="preserve">Apr-26</x:t>
        </x:is>
      </x:c>
      <x:c r="C56" t="inlineStr">
        <x:is>
          <x:t xml:space="preserve"/>
        </x:is>
      </x:c>
      <x:c r="D56" t="inlineStr">
        <x:is>
          <x:t xml:space="preserve">Entertainment</x:t>
        </x:is>
      </x:c>
      <x:c r="E56" t="inlineStr">
        <x:is>
          <x:t xml:space="preserve">Variable</x:t>
        </x:is>
      </x:c>
      <x:c r="F56" t="inlineStr">
        <x:is>
          <x:t xml:space="preserve">Cash</x:t>
        </x:is>
      </x:c>
      <x:c r="G56" s="3" t="n">
        <x:v>1664</x:v>
      </x:c>
      <x:c r="H56" s="5" t="inlineStr">
        <x:is>
          <x:t xml:space="preserve">Expense</x:t>
        </x:is>
      </x:c>
      <x:c r="I56" s="3" t="n">
        <x:v>-1664</x:v>
      </x:c>
      <x:c r="J56" s="3" t="n">
        <x:v>3089</x:v>
      </x:c>
      <x:c r="K56" s="3" t="n">
        <x:v>1425</x:v>
      </x:c>
      <x:c r="L56" t="inlineStr">
        <x:is>
          <x:t xml:space="preserve">Movies / subscriptions</x:t>
        </x:is>
      </x:c>
    </x:row>
    <x:row r="57">
      <x:c r="A57" s="2" t="n">
        <x:v>46133</x:v>
      </x:c>
      <x:c r="B57" t="inlineStr">
        <x:is>
          <x:t xml:space="preserve">Apr-26</x:t>
        </x:is>
      </x:c>
      <x:c r="C57" t="inlineStr">
        <x:is>
          <x:t xml:space="preserve"/>
        </x:is>
      </x:c>
      <x:c r="D57" t="inlineStr">
        <x:is>
          <x:t xml:space="preserve">Groceries</x:t>
        </x:is>
      </x:c>
      <x:c r="E57" t="inlineStr">
        <x:is>
          <x:t xml:space="preserve">Variable</x:t>
        </x:is>
      </x:c>
      <x:c r="F57" t="inlineStr">
        <x:is>
          <x:t xml:space="preserve">UPI</x:t>
        </x:is>
      </x:c>
      <x:c r="G57" s="3" t="n">
        <x:v>4212</x:v>
      </x:c>
      <x:c r="H57" s="5" t="inlineStr">
        <x:is>
          <x:t xml:space="preserve">Expense</x:t>
        </x:is>
      </x:c>
      <x:c r="I57" s="3" t="n">
        <x:v>-4212</x:v>
      </x:c>
      <x:c r="J57" s="3" t="n">
        <x:v>7265</x:v>
      </x:c>
      <x:c r="K57" s="3" t="n">
        <x:v>3053</x:v>
      </x:c>
      <x:c r="L57" t="inlineStr">
        <x:is>
          <x:t xml:space="preserve">Monthly essentials restock</x:t>
        </x:is>
      </x:c>
    </x:row>
    <x:row r="58">
      <x:c r="A58" s="2" t="n">
        <x:v>46137</x:v>
      </x:c>
      <x:c r="B58" t="inlineStr">
        <x:is>
          <x:t xml:space="preserve">Apr-26</x:t>
        </x:is>
      </x:c>
      <x:c r="C58" t="inlineStr">
        <x:is>
          <x:t xml:space="preserve">Freelance</x:t>
        </x:is>
      </x:c>
      <x:c r="D58" t="inlineStr">
        <x:is>
          <x:t xml:space="preserve"/>
        </x:is>
      </x:c>
      <x:c r="E58" t="inlineStr">
        <x:is>
          <x:t xml:space="preserve">N/A</x:t>
        </x:is>
      </x:c>
      <x:c r="F58" t="inlineStr">
        <x:is>
          <x:t xml:space="preserve">Bank Transfer</x:t>
        </x:is>
      </x:c>
      <x:c r="G58" s="3" t="n">
        <x:v>19787</x:v>
      </x:c>
      <x:c r="H58" s="4" t="inlineStr">
        <x:is>
          <x:t xml:space="preserve">Income</x:t>
        </x:is>
      </x:c>
      <x:c r="I58" s="3" t="n">
        <x:v>19787</x:v>
      </x:c>
      <x:c r="J58" s="3" t="n">
        <x:v>0</x:v>
      </x:c>
      <x:c r="K58" s="3" t="n">
        <x:v>0</x:v>
      </x:c>
      <x:c r="L58" t="inlineStr">
        <x:is>
          <x:t xml:space="preserve">Freelance project payment</x:t>
        </x:is>
      </x:c>
    </x:row>
    <x:row r="59">
      <x:c r="A59" s="2" t="n">
        <x:v>46137</x:v>
      </x:c>
      <x:c r="B59" t="inlineStr">
        <x:is>
          <x:t xml:space="preserve">Apr-26</x:t>
        </x:is>
      </x:c>
      <x:c r="C59" t="inlineStr">
        <x:is>
          <x:t xml:space="preserve"/>
        </x:is>
      </x:c>
      <x:c r="D59" t="inlineStr">
        <x:is>
          <x:t xml:space="preserve">Food</x:t>
        </x:is>
      </x:c>
      <x:c r="E59" t="inlineStr">
        <x:is>
          <x:t xml:space="preserve">Variable</x:t>
        </x:is>
      </x:c>
      <x:c r="F59" t="inlineStr">
        <x:is>
          <x:t xml:space="preserve">Cash</x:t>
        </x:is>
      </x:c>
      <x:c r="G59" s="3" t="n">
        <x:v>2017</x:v>
      </x:c>
      <x:c r="H59" s="5" t="inlineStr">
        <x:is>
          <x:t xml:space="preserve">Expense</x:t>
        </x:is>
      </x:c>
      <x:c r="I59" s="3" t="n">
        <x:v>-2017</x:v>
      </x:c>
      <x:c r="J59" s="3" t="n">
        <x:v>6096</x:v>
      </x:c>
      <x:c r="K59" s="3" t="n">
        <x:v>4079</x:v>
      </x:c>
      <x:c r="L59" t="inlineStr">
        <x:is>
          <x:t xml:space="preserve">Weekend food order</x:t>
        </x:is>
      </x:c>
    </x:row>
    <x:row r="60">
      <x:c r="A60" s="2" t="n">
        <x:v>46139</x:v>
      </x:c>
      <x:c r="B60" t="inlineStr">
        <x:is>
          <x:t xml:space="preserve">Apr-26</x:t>
        </x:is>
      </x:c>
      <x:c r="C60" t="inlineStr">
        <x:is>
          <x:t xml:space="preserve"/>
        </x:is>
      </x:c>
      <x:c r="D60" t="inlineStr">
        <x:is>
          <x:t xml:space="preserve">Travel</x:t>
        </x:is>
      </x:c>
      <x:c r="E60" t="inlineStr">
        <x:is>
          <x:t xml:space="preserve">Variable</x:t>
        </x:is>
      </x:c>
      <x:c r="F60" t="inlineStr">
        <x:is>
          <x:t xml:space="preserve">Credit Card</x:t>
        </x:is>
      </x:c>
      <x:c r="G60" s="3" t="n">
        <x:v>3830</x:v>
      </x:c>
      <x:c r="H60" s="5" t="inlineStr">
        <x:is>
          <x:t xml:space="preserve">Expense</x:t>
        </x:is>
      </x:c>
      <x:c r="I60" s="3" t="n">
        <x:v>-3830</x:v>
      </x:c>
      <x:c r="J60" s="3" t="n">
        <x:v>4340</x:v>
      </x:c>
      <x:c r="K60" s="3" t="n">
        <x:v>510</x:v>
      </x:c>
      <x:c r="L60" t="inlineStr">
        <x:is>
          <x:t xml:space="preserve">Cab / fuel / local travel</x:t>
        </x:is>
      </x:c>
    </x:row>
    <x:row r="61">
      <x:c r="A61" s="2" t="n">
        <x:v>46143</x:v>
      </x:c>
      <x:c r="B61" t="inlineStr">
        <x:is>
          <x:t xml:space="preserve">May-26</x:t>
        </x:is>
      </x:c>
      <x:c r="C61" t="inlineStr">
        <x:is>
          <x:t xml:space="preserve">Salary</x:t>
        </x:is>
      </x:c>
      <x:c r="D61" t="inlineStr">
        <x:is>
          <x:t xml:space="preserve"/>
        </x:is>
      </x:c>
      <x:c r="E61" t="inlineStr">
        <x:is>
          <x:t xml:space="preserve">N/A</x:t>
        </x:is>
      </x:c>
      <x:c r="F61" t="inlineStr">
        <x:is>
          <x:t xml:space="preserve">Bank Transfer</x:t>
        </x:is>
      </x:c>
      <x:c r="G61" s="3" t="n">
        <x:v>88804</x:v>
      </x:c>
      <x:c r="H61" s="4" t="inlineStr">
        <x:is>
          <x:t xml:space="preserve">Income</x:t>
        </x:is>
      </x:c>
      <x:c r="I61" s="3" t="n">
        <x:v>88804</x:v>
      </x:c>
      <x:c r="J61" s="3" t="n">
        <x:v>0</x:v>
      </x:c>
      <x:c r="K61" s="3" t="n">
        <x:v>0</x:v>
      </x:c>
      <x:c r="L61" t="inlineStr">
        <x:is>
          <x:t xml:space="preserve">Monthly salary credited</x:t>
        </x:is>
      </x:c>
    </x:row>
    <x:row r="62">
      <x:c r="A62" s="2" t="n">
        <x:v>46144</x:v>
      </x:c>
      <x:c r="B62" t="inlineStr">
        <x:is>
          <x:t xml:space="preserve">May-26</x:t>
        </x:is>
      </x:c>
      <x:c r="C62" t="inlineStr">
        <x:is>
          <x:t xml:space="preserve"/>
        </x:is>
      </x:c>
      <x:c r="D62" t="inlineStr">
        <x:is>
          <x:t xml:space="preserve">Rent</x:t>
        </x:is>
      </x:c>
      <x:c r="E62" t="inlineStr">
        <x:is>
          <x:t xml:space="preserve">Fixed</x:t>
        </x:is>
      </x:c>
      <x:c r="F62" t="inlineStr">
        <x:is>
          <x:t xml:space="preserve">Bank Transfer</x:t>
        </x:is>
      </x:c>
      <x:c r="G62" s="3" t="n">
        <x:v>28000</x:v>
      </x:c>
      <x:c r="H62" s="5" t="inlineStr">
        <x:is>
          <x:t xml:space="preserve">Expense</x:t>
        </x:is>
      </x:c>
      <x:c r="I62" s="3" t="n">
        <x:v>-28000</x:v>
      </x:c>
      <x:c r="J62" s="3" t="n">
        <x:v>28000</x:v>
      </x:c>
      <x:c r="K62" s="3" t="n">
        <x:v>0</x:v>
      </x:c>
      <x:c r="L62" t="inlineStr">
        <x:is>
          <x:t xml:space="preserve">House rent payment</x:t>
        </x:is>
      </x:c>
    </x:row>
    <x:row r="63">
      <x:c r="A63" s="2" t="n">
        <x:v>46147</x:v>
      </x:c>
      <x:c r="B63" t="inlineStr">
        <x:is>
          <x:t xml:space="preserve">May-26</x:t>
        </x:is>
      </x:c>
      <x:c r="C63" t="inlineStr">
        <x:is>
          <x:t xml:space="preserve"/>
        </x:is>
      </x:c>
      <x:c r="D63" t="inlineStr">
        <x:is>
          <x:t xml:space="preserve">EMI</x:t>
        </x:is>
      </x:c>
      <x:c r="E63" t="inlineStr">
        <x:is>
          <x:t xml:space="preserve">Fixed</x:t>
        </x:is>
      </x:c>
      <x:c r="F63" t="inlineStr">
        <x:is>
          <x:t xml:space="preserve">Bank Transfer</x:t>
        </x:is>
      </x:c>
      <x:c r="G63" s="3" t="n">
        <x:v>9000</x:v>
      </x:c>
      <x:c r="H63" s="5" t="inlineStr">
        <x:is>
          <x:t xml:space="preserve">Expense</x:t>
        </x:is>
      </x:c>
      <x:c r="I63" s="3" t="n">
        <x:v>-9000</x:v>
      </x:c>
      <x:c r="J63" s="3" t="n">
        <x:v>9000</x:v>
      </x:c>
      <x:c r="K63" s="3" t="n">
        <x:v>0</x:v>
      </x:c>
      <x:c r="L63" t="inlineStr">
        <x:is>
          <x:t xml:space="preserve">Personal loan EMI</x:t>
        </x:is>
      </x:c>
    </x:row>
    <x:row r="64">
      <x:c r="A64" s="2" t="n">
        <x:v>46149</x:v>
      </x:c>
      <x:c r="B64" t="inlineStr">
        <x:is>
          <x:t xml:space="preserve">May-26</x:t>
        </x:is>
      </x:c>
      <x:c r="C64" t="inlineStr">
        <x:is>
          <x:t xml:space="preserve"/>
        </x:is>
      </x:c>
      <x:c r="D64" t="inlineStr">
        <x:is>
          <x:t xml:space="preserve">Groceries</x:t>
        </x:is>
      </x:c>
      <x:c r="E64" t="inlineStr">
        <x:is>
          <x:t xml:space="preserve">Variable</x:t>
        </x:is>
      </x:c>
      <x:c r="F64" t="inlineStr">
        <x:is>
          <x:t xml:space="preserve">UPI</x:t>
        </x:is>
      </x:c>
      <x:c r="G64" s="3" t="n">
        <x:v>2938</x:v>
      </x:c>
      <x:c r="H64" s="5" t="inlineStr">
        <x:is>
          <x:t xml:space="preserve">Expense</x:t>
        </x:is>
      </x:c>
      <x:c r="I64" s="3" t="n">
        <x:v>-2938</x:v>
      </x:c>
      <x:c r="J64" s="3" t="n">
        <x:v>7104</x:v>
      </x:c>
      <x:c r="K64" s="3" t="n">
        <x:v>4166</x:v>
      </x:c>
      <x:c r="L64" t="inlineStr">
        <x:is>
          <x:t xml:space="preserve">Supermarket groceries</x:t>
        </x:is>
      </x:c>
    </x:row>
    <x:row r="65">
      <x:c r="A65" s="2" t="n">
        <x:v>46150</x:v>
      </x:c>
      <x:c r="B65" t="inlineStr">
        <x:is>
          <x:t xml:space="preserve">May-26</x:t>
        </x:is>
      </x:c>
      <x:c r="C65" t="inlineStr">
        <x:is>
          <x:t xml:space="preserve"/>
        </x:is>
      </x:c>
      <x:c r="D65" t="inlineStr">
        <x:is>
          <x:t xml:space="preserve">Utilities</x:t>
        </x:is>
      </x:c>
      <x:c r="E65" t="inlineStr">
        <x:is>
          <x:t xml:space="preserve">Fixed</x:t>
        </x:is>
      </x:c>
      <x:c r="F65" t="inlineStr">
        <x:is>
          <x:t xml:space="preserve">UPI</x:t>
        </x:is>
      </x:c>
      <x:c r="G65" s="3" t="n">
        <x:v>1607</x:v>
      </x:c>
      <x:c r="H65" s="5" t="inlineStr">
        <x:is>
          <x:t xml:space="preserve">Expense</x:t>
        </x:is>
      </x:c>
      <x:c r="I65" s="3" t="n">
        <x:v>-1607</x:v>
      </x:c>
      <x:c r="J65" s="3" t="n">
        <x:v>3941</x:v>
      </x:c>
      <x:c r="K65" s="3" t="n">
        <x:v>2334</x:v>
      </x:c>
      <x:c r="L65" t="inlineStr">
        <x:is>
          <x:t xml:space="preserve">Electricity bill</x:t>
        </x:is>
      </x:c>
    </x:row>
    <x:row r="66">
      <x:c r="A66" s="2" t="n">
        <x:v>46153</x:v>
      </x:c>
      <x:c r="B66" t="inlineStr">
        <x:is>
          <x:t xml:space="preserve">May-26</x:t>
        </x:is>
      </x:c>
      <x:c r="C66" t="inlineStr">
        <x:is>
          <x:t xml:space="preserve"/>
        </x:is>
      </x:c>
      <x:c r="D66" t="inlineStr">
        <x:is>
          <x:t xml:space="preserve">Utilities</x:t>
        </x:is>
      </x:c>
      <x:c r="E66" t="inlineStr">
        <x:is>
          <x:t xml:space="preserve">Fixed</x:t>
        </x:is>
      </x:c>
      <x:c r="F66" t="inlineStr">
        <x:is>
          <x:t xml:space="preserve">UPI</x:t>
        </x:is>
      </x:c>
      <x:c r="G66" s="3" t="n">
        <x:v>1272</x:v>
      </x:c>
      <x:c r="H66" s="5" t="inlineStr">
        <x:is>
          <x:t xml:space="preserve">Expense</x:t>
        </x:is>
      </x:c>
      <x:c r="I66" s="3" t="n">
        <x:v>-1272</x:v>
      </x:c>
      <x:c r="J66" s="3" t="n">
        <x:v>3941</x:v>
      </x:c>
      <x:c r="K66" s="3" t="n">
        <x:v>2669</x:v>
      </x:c>
      <x:c r="L66" t="inlineStr">
        <x:is>
          <x:t xml:space="preserve">Internet / mobile bill</x:t>
        </x:is>
      </x:c>
    </x:row>
    <x:row r="67">
      <x:c r="A67" s="2" t="n">
        <x:v>46154</x:v>
      </x:c>
      <x:c r="B67" t="inlineStr">
        <x:is>
          <x:t xml:space="preserve">May-26</x:t>
        </x:is>
      </x:c>
      <x:c r="C67" t="inlineStr">
        <x:is>
          <x:t xml:space="preserve"/>
        </x:is>
      </x:c>
      <x:c r="D67" t="inlineStr">
        <x:is>
          <x:t xml:space="preserve">Food</x:t>
        </x:is>
      </x:c>
      <x:c r="E67" t="inlineStr">
        <x:is>
          <x:t xml:space="preserve">Variable</x:t>
        </x:is>
      </x:c>
      <x:c r="F67" t="inlineStr">
        <x:is>
          <x:t xml:space="preserve">UPI</x:t>
        </x:is>
      </x:c>
      <x:c r="G67" s="3" t="n">
        <x:v>2252</x:v>
      </x:c>
      <x:c r="H67" s="5" t="inlineStr">
        <x:is>
          <x:t xml:space="preserve">Expense</x:t>
        </x:is>
      </x:c>
      <x:c r="I67" s="3" t="n">
        <x:v>-2252</x:v>
      </x:c>
      <x:c r="J67" s="3" t="n">
        <x:v>6636</x:v>
      </x:c>
      <x:c r="K67" s="3" t="n">
        <x:v>4384</x:v>
      </x:c>
      <x:c r="L67" t="inlineStr">
        <x:is>
          <x:t xml:space="preserve">Dining out / office lunch</x:t>
        </x:is>
      </x:c>
    </x:row>
    <x:row r="68">
      <x:c r="A68" s="2" t="n">
        <x:v>46158</x:v>
      </x:c>
      <x:c r="B68" t="inlineStr">
        <x:is>
          <x:t xml:space="preserve">May-26</x:t>
        </x:is>
      </x:c>
      <x:c r="C68" t="inlineStr">
        <x:is>
          <x:t xml:space="preserve"/>
        </x:is>
      </x:c>
      <x:c r="D68" t="inlineStr">
        <x:is>
          <x:t xml:space="preserve">Shopping</x:t>
        </x:is>
      </x:c>
      <x:c r="E68" t="inlineStr">
        <x:is>
          <x:t xml:space="preserve">Variable</x:t>
        </x:is>
      </x:c>
      <x:c r="F68" t="inlineStr">
        <x:is>
          <x:t xml:space="preserve">Credit Card</x:t>
        </x:is>
      </x:c>
      <x:c r="G68" s="3" t="n">
        <x:v>6177</x:v>
      </x:c>
      <x:c r="H68" s="5" t="inlineStr">
        <x:is>
          <x:t xml:space="preserve">Expense</x:t>
        </x:is>
      </x:c>
      <x:c r="I68" s="3" t="n">
        <x:v>-6177</x:v>
      </x:c>
      <x:c r="J68" s="3" t="n">
        <x:v>4488</x:v>
      </x:c>
      <x:c r="K68" s="3" t="n">
        <x:v>-1689</x:v>
      </x:c>
      <x:c r="L68" t="inlineStr">
        <x:is>
          <x:t xml:space="preserve">Apparel / lifestyle purchase</x:t>
        </x:is>
      </x:c>
    </x:row>
    <x:row r="69">
      <x:c r="A69" s="2" t="n">
        <x:v>46160</x:v>
      </x:c>
      <x:c r="B69" t="inlineStr">
        <x:is>
          <x:t xml:space="preserve">May-26</x:t>
        </x:is>
      </x:c>
      <x:c r="C69" t="inlineStr">
        <x:is>
          <x:t xml:space="preserve"/>
        </x:is>
      </x:c>
      <x:c r="D69" t="inlineStr">
        <x:is>
          <x:t xml:space="preserve">Entertainment</x:t>
        </x:is>
      </x:c>
      <x:c r="E69" t="inlineStr">
        <x:is>
          <x:t xml:space="preserve">Variable</x:t>
        </x:is>
      </x:c>
      <x:c r="F69" t="inlineStr">
        <x:is>
          <x:t xml:space="preserve">Credit Card</x:t>
        </x:is>
      </x:c>
      <x:c r="G69" s="3" t="n">
        <x:v>1338</x:v>
      </x:c>
      <x:c r="H69" s="5" t="inlineStr">
        <x:is>
          <x:t xml:space="preserve">Expense</x:t>
        </x:is>
      </x:c>
      <x:c r="I69" s="3" t="n">
        <x:v>-1338</x:v>
      </x:c>
      <x:c r="J69" s="3" t="n">
        <x:v>3340</x:v>
      </x:c>
      <x:c r="K69" s="3" t="n">
        <x:v>2002</x:v>
      </x:c>
      <x:c r="L69" t="inlineStr">
        <x:is>
          <x:t xml:space="preserve">Movies / subscriptions</x:t>
        </x:is>
      </x:c>
    </x:row>
    <x:row r="70">
      <x:c r="A70" s="2" t="n">
        <x:v>46163</x:v>
      </x:c>
      <x:c r="B70" t="inlineStr">
        <x:is>
          <x:t xml:space="preserve">May-26</x:t>
        </x:is>
      </x:c>
      <x:c r="C70" t="inlineStr">
        <x:is>
          <x:t xml:space="preserve"/>
        </x:is>
      </x:c>
      <x:c r="D70" t="inlineStr">
        <x:is>
          <x:t xml:space="preserve">Groceries</x:t>
        </x:is>
      </x:c>
      <x:c r="E70" t="inlineStr">
        <x:is>
          <x:t xml:space="preserve">Variable</x:t>
        </x:is>
      </x:c>
      <x:c r="F70" t="inlineStr">
        <x:is>
          <x:t xml:space="preserve">UPI</x:t>
        </x:is>
      </x:c>
      <x:c r="G70" s="3" t="n">
        <x:v>3476</x:v>
      </x:c>
      <x:c r="H70" s="5" t="inlineStr">
        <x:is>
          <x:t xml:space="preserve">Expense</x:t>
        </x:is>
      </x:c>
      <x:c r="I70" s="3" t="n">
        <x:v>-3476</x:v>
      </x:c>
      <x:c r="J70" s="3" t="n">
        <x:v>7104</x:v>
      </x:c>
      <x:c r="K70" s="3" t="n">
        <x:v>3628</x:v>
      </x:c>
      <x:c r="L70" t="inlineStr">
        <x:is>
          <x:t xml:space="preserve">Monthly essentials restock</x:t>
        </x:is>
      </x:c>
    </x:row>
    <x:row r="71">
      <x:c r="A71" s="2" t="n">
        <x:v>46165</x:v>
      </x:c>
      <x:c r="B71" t="inlineStr">
        <x:is>
          <x:t xml:space="preserve">May-26</x:t>
        </x:is>
      </x:c>
      <x:c r="C71" t="inlineStr">
        <x:is>
          <x:t xml:space="preserve"/>
        </x:is>
      </x:c>
      <x:c r="D71" t="inlineStr">
        <x:is>
          <x:t xml:space="preserve">Shopping</x:t>
        </x:is>
      </x:c>
      <x:c r="E71" t="inlineStr">
        <x:is>
          <x:t xml:space="preserve">Variable</x:t>
        </x:is>
      </x:c>
      <x:c r="F71" t="inlineStr">
        <x:is>
          <x:t xml:space="preserve">UPI</x:t>
        </x:is>
      </x:c>
      <x:c r="G71" s="3" t="n">
        <x:v>4190</x:v>
      </x:c>
      <x:c r="H71" s="5" t="inlineStr">
        <x:is>
          <x:t xml:space="preserve">Expense</x:t>
        </x:is>
      </x:c>
      <x:c r="I71" s="3" t="n">
        <x:v>-4190</x:v>
      </x:c>
      <x:c r="J71" s="3" t="n">
        <x:v>4488</x:v>
      </x:c>
      <x:c r="K71" s="3" t="n">
        <x:v>298</x:v>
      </x:c>
      <x:c r="L71" t="inlineStr">
        <x:is>
          <x:t xml:space="preserve">Seasonal / festive shopping</x:t>
        </x:is>
      </x:c>
    </x:row>
    <x:row r="72">
      <x:c r="A72" s="2" t="n">
        <x:v>46167</x:v>
      </x:c>
      <x:c r="B72" t="inlineStr">
        <x:is>
          <x:t xml:space="preserve">May-26</x:t>
        </x:is>
      </x:c>
      <x:c r="C72" t="inlineStr">
        <x:is>
          <x:t xml:space="preserve"/>
        </x:is>
      </x:c>
      <x:c r="D72" t="inlineStr">
        <x:is>
          <x:t xml:space="preserve">Food</x:t>
        </x:is>
      </x:c>
      <x:c r="E72" t="inlineStr">
        <x:is>
          <x:t xml:space="preserve">Variable</x:t>
        </x:is>
      </x:c>
      <x:c r="F72" t="inlineStr">
        <x:is>
          <x:t xml:space="preserve">Cash</x:t>
        </x:is>
      </x:c>
      <x:c r="G72" s="3" t="n">
        <x:v>1770</x:v>
      </x:c>
      <x:c r="H72" s="5" t="inlineStr">
        <x:is>
          <x:t xml:space="preserve">Expense</x:t>
        </x:is>
      </x:c>
      <x:c r="I72" s="3" t="n">
        <x:v>-1770</x:v>
      </x:c>
      <x:c r="J72" s="3" t="n">
        <x:v>6636</x:v>
      </x:c>
      <x:c r="K72" s="3" t="n">
        <x:v>4866</x:v>
      </x:c>
      <x:c r="L72" t="inlineStr">
        <x:is>
          <x:t xml:space="preserve">Weekend food order</x:t>
        </x:is>
      </x:c>
    </x:row>
    <x:row r="73">
      <x:c r="A73" s="2" t="n">
        <x:v>46168</x:v>
      </x:c>
      <x:c r="B73" t="inlineStr">
        <x:is>
          <x:t xml:space="preserve">May-26</x:t>
        </x:is>
      </x:c>
      <x:c r="C73" t="inlineStr">
        <x:is>
          <x:t xml:space="preserve"/>
        </x:is>
      </x:c>
      <x:c r="D73" t="inlineStr">
        <x:is>
          <x:t xml:space="preserve">Healthcare</x:t>
        </x:is>
      </x:c>
      <x:c r="E73" t="inlineStr">
        <x:is>
          <x:t xml:space="preserve">Variable</x:t>
        </x:is>
      </x:c>
      <x:c r="F73" t="inlineStr">
        <x:is>
          <x:t xml:space="preserve">Bank Transfer</x:t>
        </x:is>
      </x:c>
      <x:c r="G73" s="3" t="n">
        <x:v>4507</x:v>
      </x:c>
      <x:c r="H73" s="5" t="inlineStr">
        <x:is>
          <x:t xml:space="preserve">Expense</x:t>
        </x:is>
      </x:c>
      <x:c r="I73" s="3" t="n">
        <x:v>-4507</x:v>
      </x:c>
      <x:c r="J73" s="3" t="n">
        <x:v>3498</x:v>
      </x:c>
      <x:c r="K73" s="3" t="n">
        <x:v>-1009</x:v>
      </x:c>
      <x:c r="L73" t="inlineStr">
        <x:is>
          <x:t xml:space="preserve">Medicines / doctor consultation</x:t>
        </x:is>
      </x:c>
    </x:row>
    <x:row r="74">
      <x:c r="A74" s="2" t="n">
        <x:v>46168</x:v>
      </x:c>
      <x:c r="B74" t="inlineStr">
        <x:is>
          <x:t xml:space="preserve">May-26</x:t>
        </x:is>
      </x:c>
      <x:c r="C74" t="inlineStr">
        <x:is>
          <x:t xml:space="preserve"/>
        </x:is>
      </x:c>
      <x:c r="D74" t="inlineStr">
        <x:is>
          <x:t xml:space="preserve">Education</x:t>
        </x:is>
      </x:c>
      <x:c r="E74" t="inlineStr">
        <x:is>
          <x:t xml:space="preserve">Variable</x:t>
        </x:is>
      </x:c>
      <x:c r="F74" t="inlineStr">
        <x:is>
          <x:t xml:space="preserve">Credit Card</x:t>
        </x:is>
      </x:c>
      <x:c r="G74" s="3" t="n">
        <x:v>2579</x:v>
      </x:c>
      <x:c r="H74" s="5" t="inlineStr">
        <x:is>
          <x:t xml:space="preserve">Expense</x:t>
        </x:is>
      </x:c>
      <x:c r="I74" s="3" t="n">
        <x:v>-2579</x:v>
      </x:c>
      <x:c r="J74" s="3" t="n">
        <x:v>2675</x:v>
      </x:c>
      <x:c r="K74" s="3" t="n">
        <x:v>96</x:v>
      </x:c>
      <x:c r="L74" t="inlineStr">
        <x:is>
          <x:t xml:space="preserve">Course / books / certification</x:t>
        </x:is>
      </x:c>
    </x:row>
    <x:row r="75">
      <x:c r="A75" s="2" t="n">
        <x:v>46174</x:v>
      </x:c>
      <x:c r="B75" t="inlineStr">
        <x:is>
          <x:t xml:space="preserve">Jun-26</x:t>
        </x:is>
      </x:c>
      <x:c r="C75" t="inlineStr">
        <x:is>
          <x:t xml:space="preserve">Salary</x:t>
        </x:is>
      </x:c>
      <x:c r="D75" t="inlineStr">
        <x:is>
          <x:t xml:space="preserve"/>
        </x:is>
      </x:c>
      <x:c r="E75" t="inlineStr">
        <x:is>
          <x:t xml:space="preserve">N/A</x:t>
        </x:is>
      </x:c>
      <x:c r="F75" t="inlineStr">
        <x:is>
          <x:t xml:space="preserve">Bank Transfer</x:t>
        </x:is>
      </x:c>
      <x:c r="G75" s="3" t="n">
        <x:v>87772</x:v>
      </x:c>
      <x:c r="H75" s="4" t="inlineStr">
        <x:is>
          <x:t xml:space="preserve">Income</x:t>
        </x:is>
      </x:c>
      <x:c r="I75" s="3" t="n">
        <x:v>87772</x:v>
      </x:c>
      <x:c r="J75" s="3" t="n">
        <x:v>0</x:v>
      </x:c>
      <x:c r="K75" s="3" t="n">
        <x:v>0</x:v>
      </x:c>
      <x:c r="L75" t="inlineStr">
        <x:is>
          <x:t xml:space="preserve">Monthly salary credited</x:t>
        </x:is>
      </x:c>
    </x:row>
    <x:row r="76">
      <x:c r="A76" s="2" t="n">
        <x:v>46175</x:v>
      </x:c>
      <x:c r="B76" t="inlineStr">
        <x:is>
          <x:t xml:space="preserve">Jun-26</x:t>
        </x:is>
      </x:c>
      <x:c r="C76" t="inlineStr">
        <x:is>
          <x:t xml:space="preserve"/>
        </x:is>
      </x:c>
      <x:c r="D76" t="inlineStr">
        <x:is>
          <x:t xml:space="preserve">Rent</x:t>
        </x:is>
      </x:c>
      <x:c r="E76" t="inlineStr">
        <x:is>
          <x:t xml:space="preserve">Fixed</x:t>
        </x:is>
      </x:c>
      <x:c r="F76" t="inlineStr">
        <x:is>
          <x:t xml:space="preserve">Bank Transfer</x:t>
        </x:is>
      </x:c>
      <x:c r="G76" s="3" t="n">
        <x:v>28000</x:v>
      </x:c>
      <x:c r="H76" s="5" t="inlineStr">
        <x:is>
          <x:t xml:space="preserve">Expense</x:t>
        </x:is>
      </x:c>
      <x:c r="I76" s="3" t="n">
        <x:v>-28000</x:v>
      </x:c>
      <x:c r="J76" s="3" t="n">
        <x:v>28000</x:v>
      </x:c>
      <x:c r="K76" s="3" t="n">
        <x:v>0</x:v>
      </x:c>
      <x:c r="L76" t="inlineStr">
        <x:is>
          <x:t xml:space="preserve">House rent payment</x:t>
        </x:is>
      </x:c>
    </x:row>
    <x:row r="77">
      <x:c r="A77" s="2" t="n">
        <x:v>46178</x:v>
      </x:c>
      <x:c r="B77" t="inlineStr">
        <x:is>
          <x:t xml:space="preserve">Jun-26</x:t>
        </x:is>
      </x:c>
      <x:c r="C77" t="inlineStr">
        <x:is>
          <x:t xml:space="preserve"/>
        </x:is>
      </x:c>
      <x:c r="D77" t="inlineStr">
        <x:is>
          <x:t xml:space="preserve">EMI</x:t>
        </x:is>
      </x:c>
      <x:c r="E77" t="inlineStr">
        <x:is>
          <x:t xml:space="preserve">Fixed</x:t>
        </x:is>
      </x:c>
      <x:c r="F77" t="inlineStr">
        <x:is>
          <x:t xml:space="preserve">Bank Transfer</x:t>
        </x:is>
      </x:c>
      <x:c r="G77" s="3" t="n">
        <x:v>9000</x:v>
      </x:c>
      <x:c r="H77" s="5" t="inlineStr">
        <x:is>
          <x:t xml:space="preserve">Expense</x:t>
        </x:is>
      </x:c>
      <x:c r="I77" s="3" t="n">
        <x:v>-9000</x:v>
      </x:c>
      <x:c r="J77" s="3" t="n">
        <x:v>9000</x:v>
      </x:c>
      <x:c r="K77" s="3" t="n">
        <x:v>0</x:v>
      </x:c>
      <x:c r="L77" t="inlineStr">
        <x:is>
          <x:t xml:space="preserve">Personal loan EMI</x:t>
        </x:is>
      </x:c>
    </x:row>
    <x:row r="78">
      <x:c r="A78" s="2" t="n">
        <x:v>46180</x:v>
      </x:c>
      <x:c r="B78" t="inlineStr">
        <x:is>
          <x:t xml:space="preserve">Jun-26</x:t>
        </x:is>
      </x:c>
      <x:c r="C78" t="inlineStr">
        <x:is>
          <x:t xml:space="preserve"/>
        </x:is>
      </x:c>
      <x:c r="D78" t="inlineStr">
        <x:is>
          <x:t xml:space="preserve">Groceries</x:t>
        </x:is>
      </x:c>
      <x:c r="E78" t="inlineStr">
        <x:is>
          <x:t xml:space="preserve">Variable</x:t>
        </x:is>
      </x:c>
      <x:c r="F78" t="inlineStr">
        <x:is>
          <x:t xml:space="preserve">Credit Card</x:t>
        </x:is>
      </x:c>
      <x:c r="G78" s="3" t="n">
        <x:v>2924</x:v>
      </x:c>
      <x:c r="H78" s="5" t="inlineStr">
        <x:is>
          <x:t xml:space="preserve">Expense</x:t>
        </x:is>
      </x:c>
      <x:c r="I78" s="3" t="n">
        <x:v>-2924</x:v>
      </x:c>
      <x:c r="J78" s="3" t="n">
        <x:v>7000</x:v>
      </x:c>
      <x:c r="K78" s="3" t="n">
        <x:v>4076</x:v>
      </x:c>
      <x:c r="L78" t="inlineStr">
        <x:is>
          <x:t xml:space="preserve">Supermarket groceries</x:t>
        </x:is>
      </x:c>
    </x:row>
    <x:row r="79">
      <x:c r="A79" s="2" t="n">
        <x:v>46181</x:v>
      </x:c>
      <x:c r="B79" t="inlineStr">
        <x:is>
          <x:t xml:space="preserve">Jun-26</x:t>
        </x:is>
      </x:c>
      <x:c r="C79" t="inlineStr">
        <x:is>
          <x:t xml:space="preserve"/>
        </x:is>
      </x:c>
      <x:c r="D79" t="inlineStr">
        <x:is>
          <x:t xml:space="preserve">Utilities</x:t>
        </x:is>
      </x:c>
      <x:c r="E79" t="inlineStr">
        <x:is>
          <x:t xml:space="preserve">Fixed</x:t>
        </x:is>
      </x:c>
      <x:c r="F79" t="inlineStr">
        <x:is>
          <x:t xml:space="preserve">UPI</x:t>
        </x:is>
      </x:c>
      <x:c r="G79" s="3" t="n">
        <x:v>2020</x:v>
      </x:c>
      <x:c r="H79" s="5" t="inlineStr">
        <x:is>
          <x:t xml:space="preserve">Expense</x:t>
        </x:is>
      </x:c>
      <x:c r="I79" s="3" t="n">
        <x:v>-2020</x:v>
      </x:c>
      <x:c r="J79" s="3" t="n">
        <x:v>4666</x:v>
      </x:c>
      <x:c r="K79" s="3" t="n">
        <x:v>2646</x:v>
      </x:c>
      <x:c r="L79" t="inlineStr">
        <x:is>
          <x:t xml:space="preserve">Electricity bill</x:t>
        </x:is>
      </x:c>
    </x:row>
    <x:row r="80">
      <x:c r="A80" s="2" t="n">
        <x:v>46184</x:v>
      </x:c>
      <x:c r="B80" t="inlineStr">
        <x:is>
          <x:t xml:space="preserve">Jun-26</x:t>
        </x:is>
      </x:c>
      <x:c r="C80" t="inlineStr">
        <x:is>
          <x:t xml:space="preserve"/>
        </x:is>
      </x:c>
      <x:c r="D80" t="inlineStr">
        <x:is>
          <x:t xml:space="preserve">Utilities</x:t>
        </x:is>
      </x:c>
      <x:c r="E80" t="inlineStr">
        <x:is>
          <x:t xml:space="preserve">Fixed</x:t>
        </x:is>
      </x:c>
      <x:c r="F80" t="inlineStr">
        <x:is>
          <x:t xml:space="preserve">UPI</x:t>
        </x:is>
      </x:c>
      <x:c r="G80" s="3" t="n">
        <x:v>1678</x:v>
      </x:c>
      <x:c r="H80" s="5" t="inlineStr">
        <x:is>
          <x:t xml:space="preserve">Expense</x:t>
        </x:is>
      </x:c>
      <x:c r="I80" s="3" t="n">
        <x:v>-1678</x:v>
      </x:c>
      <x:c r="J80" s="3" t="n">
        <x:v>4666</x:v>
      </x:c>
      <x:c r="K80" s="3" t="n">
        <x:v>2988</x:v>
      </x:c>
      <x:c r="L80" t="inlineStr">
        <x:is>
          <x:t xml:space="preserve">Internet / mobile bill</x:t>
        </x:is>
      </x:c>
    </x:row>
    <x:row r="81">
      <x:c r="A81" s="2" t="n">
        <x:v>46185</x:v>
      </x:c>
      <x:c r="B81" t="inlineStr">
        <x:is>
          <x:t xml:space="preserve">Jun-26</x:t>
        </x:is>
      </x:c>
      <x:c r="C81" t="inlineStr">
        <x:is>
          <x:t xml:space="preserve"/>
        </x:is>
      </x:c>
      <x:c r="D81" t="inlineStr">
        <x:is>
          <x:t xml:space="preserve">Food</x:t>
        </x:is>
      </x:c>
      <x:c r="E81" t="inlineStr">
        <x:is>
          <x:t xml:space="preserve">Variable</x:t>
        </x:is>
      </x:c>
      <x:c r="F81" t="inlineStr">
        <x:is>
          <x:t xml:space="preserve">UPI</x:t>
        </x:is>
      </x:c>
      <x:c r="G81" s="3" t="n">
        <x:v>1423</x:v>
      </x:c>
      <x:c r="H81" s="5" t="inlineStr">
        <x:is>
          <x:t xml:space="preserve">Expense</x:t>
        </x:is>
      </x:c>
      <x:c r="I81" s="3" t="n">
        <x:v>-1423</x:v>
      </x:c>
      <x:c r="J81" s="3" t="n">
        <x:v>6687</x:v>
      </x:c>
      <x:c r="K81" s="3" t="n">
        <x:v>5264</x:v>
      </x:c>
      <x:c r="L81" t="inlineStr">
        <x:is>
          <x:t xml:space="preserve">Dining out / office lunch</x:t>
        </x:is>
      </x:c>
    </x:row>
    <x:row r="82">
      <x:c r="A82" s="2" t="n">
        <x:v>46189</x:v>
      </x:c>
      <x:c r="B82" t="inlineStr">
        <x:is>
          <x:t xml:space="preserve">Jun-26</x:t>
        </x:is>
      </x:c>
      <x:c r="C82" t="inlineStr">
        <x:is>
          <x:t xml:space="preserve"/>
        </x:is>
      </x:c>
      <x:c r="D82" t="inlineStr">
        <x:is>
          <x:t xml:space="preserve">Shopping</x:t>
        </x:is>
      </x:c>
      <x:c r="E82" t="inlineStr">
        <x:is>
          <x:t xml:space="preserve">Variable</x:t>
        </x:is>
      </x:c>
      <x:c r="F82" t="inlineStr">
        <x:is>
          <x:t xml:space="preserve">Credit Card</x:t>
        </x:is>
      </x:c>
      <x:c r="G82" s="3" t="n">
        <x:v>4956</x:v>
      </x:c>
      <x:c r="H82" s="5" t="inlineStr">
        <x:is>
          <x:t xml:space="preserve">Expense</x:t>
        </x:is>
      </x:c>
      <x:c r="I82" s="3" t="n">
        <x:v>-4956</x:v>
      </x:c>
      <x:c r="J82" s="3" t="n">
        <x:v>5140</x:v>
      </x:c>
      <x:c r="K82" s="3" t="n">
        <x:v>184</x:v>
      </x:c>
      <x:c r="L82" t="inlineStr">
        <x:is>
          <x:t xml:space="preserve">Apparel / lifestyle purchase</x:t>
        </x:is>
      </x:c>
    </x:row>
    <x:row r="83">
      <x:c r="A83" s="2" t="n">
        <x:v>46190</x:v>
      </x:c>
      <x:c r="B83" t="inlineStr">
        <x:is>
          <x:t xml:space="preserve">Jun-26</x:t>
        </x:is>
      </x:c>
      <x:c r="C83" t="inlineStr">
        <x:is>
          <x:t xml:space="preserve"/>
        </x:is>
      </x:c>
      <x:c r="D83" t="inlineStr">
        <x:is>
          <x:t xml:space="preserve">Healthcare</x:t>
        </x:is>
      </x:c>
      <x:c r="E83" t="inlineStr">
        <x:is>
          <x:t xml:space="preserve">Variable</x:t>
        </x:is>
      </x:c>
      <x:c r="F83" t="inlineStr">
        <x:is>
          <x:t xml:space="preserve">UPI</x:t>
        </x:is>
      </x:c>
      <x:c r="G83" s="3" t="n">
        <x:v>1507</x:v>
      </x:c>
      <x:c r="H83" s="5" t="inlineStr">
        <x:is>
          <x:t xml:space="preserve">Expense</x:t>
        </x:is>
      </x:c>
      <x:c r="I83" s="3" t="n">
        <x:v>-1507</x:v>
      </x:c>
      <x:c r="J83" s="3" t="n">
        <x:v>3842</x:v>
      </x:c>
      <x:c r="K83" s="3" t="n">
        <x:v>2335</x:v>
      </x:c>
      <x:c r="L83" t="inlineStr">
        <x:is>
          <x:t xml:space="preserve">Health and wellness spend</x:t>
        </x:is>
      </x:c>
    </x:row>
    <x:row r="84">
      <x:c r="A84" s="2" t="n">
        <x:v>46191</x:v>
      </x:c>
      <x:c r="B84" t="inlineStr">
        <x:is>
          <x:t xml:space="preserve">Jun-26</x:t>
        </x:is>
      </x:c>
      <x:c r="C84" t="inlineStr">
        <x:is>
          <x:t xml:space="preserve"/>
        </x:is>
      </x:c>
      <x:c r="D84" t="inlineStr">
        <x:is>
          <x:t xml:space="preserve">Entertainment</x:t>
        </x:is>
      </x:c>
      <x:c r="E84" t="inlineStr">
        <x:is>
          <x:t xml:space="preserve">Variable</x:t>
        </x:is>
      </x:c>
      <x:c r="F84" t="inlineStr">
        <x:is>
          <x:t xml:space="preserve">Cash</x:t>
        </x:is>
      </x:c>
      <x:c r="G84" s="3" t="n">
        <x:v>1818</x:v>
      </x:c>
      <x:c r="H84" s="5" t="inlineStr">
        <x:is>
          <x:t xml:space="preserve">Expense</x:t>
        </x:is>
      </x:c>
      <x:c r="I84" s="3" t="n">
        <x:v>-1818</x:v>
      </x:c>
      <x:c r="J84" s="3" t="n">
        <x:v>2793</x:v>
      </x:c>
      <x:c r="K84" s="3" t="n">
        <x:v>975</x:v>
      </x:c>
      <x:c r="L84" t="inlineStr">
        <x:is>
          <x:t xml:space="preserve">Movies / subscriptions</x:t>
        </x:is>
      </x:c>
    </x:row>
    <x:row r="85">
      <x:c r="A85" s="2" t="n">
        <x:v>46191</x:v>
      </x:c>
      <x:c r="B85" t="inlineStr">
        <x:is>
          <x:t xml:space="preserve">Jun-26</x:t>
        </x:is>
      </x:c>
      <x:c r="C85" t="inlineStr">
        <x:is>
          <x:t xml:space="preserve"/>
        </x:is>
      </x:c>
      <x:c r="D85" t="inlineStr">
        <x:is>
          <x:t xml:space="preserve">Travel</x:t>
        </x:is>
      </x:c>
      <x:c r="E85" t="inlineStr">
        <x:is>
          <x:t xml:space="preserve">Variable</x:t>
        </x:is>
      </x:c>
      <x:c r="F85" t="inlineStr">
        <x:is>
          <x:t xml:space="preserve">UPI</x:t>
        </x:is>
      </x:c>
      <x:c r="G85" s="3" t="n">
        <x:v>5589</x:v>
      </x:c>
      <x:c r="H85" s="5" t="inlineStr">
        <x:is>
          <x:t xml:space="preserve">Expense</x:t>
        </x:is>
      </x:c>
      <x:c r="I85" s="3" t="n">
        <x:v>-5589</x:v>
      </x:c>
      <x:c r="J85" s="3" t="n">
        <x:v>5082</x:v>
      </x:c>
      <x:c r="K85" s="3" t="n">
        <x:v>-507</x:v>
      </x:c>
      <x:c r="L85" t="inlineStr">
        <x:is>
          <x:t xml:space="preserve">Cab / fuel / local travel</x:t>
        </x:is>
      </x:c>
    </x:row>
    <x:row r="86">
      <x:c r="A86" s="2" t="n">
        <x:v>46194</x:v>
      </x:c>
      <x:c r="B86" t="inlineStr">
        <x:is>
          <x:t xml:space="preserve">Jun-26</x:t>
        </x:is>
      </x:c>
      <x:c r="C86" t="inlineStr">
        <x:is>
          <x:t xml:space="preserve">Freelance</x:t>
        </x:is>
      </x:c>
      <x:c r="D86" t="inlineStr">
        <x:is>
          <x:t xml:space="preserve"/>
        </x:is>
      </x:c>
      <x:c r="E86" t="inlineStr">
        <x:is>
          <x:t xml:space="preserve">N/A</x:t>
        </x:is>
      </x:c>
      <x:c r="F86" t="inlineStr">
        <x:is>
          <x:t xml:space="preserve">Bank Transfer</x:t>
        </x:is>
      </x:c>
      <x:c r="G86" s="3" t="n">
        <x:v>13588</x:v>
      </x:c>
      <x:c r="H86" s="4" t="inlineStr">
        <x:is>
          <x:t xml:space="preserve">Income</x:t>
        </x:is>
      </x:c>
      <x:c r="I86" s="3" t="n">
        <x:v>13588</x:v>
      </x:c>
      <x:c r="J86" s="3" t="n">
        <x:v>0</x:v>
      </x:c>
      <x:c r="K86" s="3" t="n">
        <x:v>0</x:v>
      </x:c>
      <x:c r="L86" t="inlineStr">
        <x:is>
          <x:t xml:space="preserve">Freelance project payment</x:t>
        </x:is>
      </x:c>
    </x:row>
    <x:row r="87">
      <x:c r="A87" s="2" t="n">
        <x:v>46194</x:v>
      </x:c>
      <x:c r="B87" t="inlineStr">
        <x:is>
          <x:t xml:space="preserve">Jun-26</x:t>
        </x:is>
      </x:c>
      <x:c r="C87" t="inlineStr">
        <x:is>
          <x:t xml:space="preserve"/>
        </x:is>
      </x:c>
      <x:c r="D87" t="inlineStr">
        <x:is>
          <x:t xml:space="preserve">Groceries</x:t>
        </x:is>
      </x:c>
      <x:c r="E87" t="inlineStr">
        <x:is>
          <x:t xml:space="preserve">Variable</x:t>
        </x:is>
      </x:c>
      <x:c r="F87" t="inlineStr">
        <x:is>
          <x:t xml:space="preserve">Credit Card</x:t>
        </x:is>
      </x:c>
      <x:c r="G87" s="3" t="n">
        <x:v>4291</x:v>
      </x:c>
      <x:c r="H87" s="5" t="inlineStr">
        <x:is>
          <x:t xml:space="preserve">Expense</x:t>
        </x:is>
      </x:c>
      <x:c r="I87" s="3" t="n">
        <x:v>-4291</x:v>
      </x:c>
      <x:c r="J87" s="3" t="n">
        <x:v>7000</x:v>
      </x:c>
      <x:c r="K87" s="3" t="n">
        <x:v>2709</x:v>
      </x:c>
      <x:c r="L87" t="inlineStr">
        <x:is>
          <x:t xml:space="preserve">Monthly essentials restock</x:t>
        </x:is>
      </x:c>
    </x:row>
    <x:row r="88">
      <x:c r="A88" s="2" t="n">
        <x:v>46198</x:v>
      </x:c>
      <x:c r="B88" t="inlineStr">
        <x:is>
          <x:t xml:space="preserve">Jun-26</x:t>
        </x:is>
      </x:c>
      <x:c r="C88" t="inlineStr">
        <x:is>
          <x:t xml:space="preserve"/>
        </x:is>
      </x:c>
      <x:c r="D88" t="inlineStr">
        <x:is>
          <x:t xml:space="preserve">Food</x:t>
        </x:is>
      </x:c>
      <x:c r="E88" t="inlineStr">
        <x:is>
          <x:t xml:space="preserve">Variable</x:t>
        </x:is>
      </x:c>
      <x:c r="F88" t="inlineStr">
        <x:is>
          <x:t xml:space="preserve">UPI</x:t>
        </x:is>
      </x:c>
      <x:c r="G88" s="3" t="n">
        <x:v>1592</x:v>
      </x:c>
      <x:c r="H88" s="5" t="inlineStr">
        <x:is>
          <x:t xml:space="preserve">Expense</x:t>
        </x:is>
      </x:c>
      <x:c r="I88" s="3" t="n">
        <x:v>-1592</x:v>
      </x:c>
      <x:c r="J88" s="3" t="n">
        <x:v>6687</x:v>
      </x:c>
      <x:c r="K88" s="3" t="n">
        <x:v>5095</x:v>
      </x:c>
      <x:c r="L88" t="inlineStr">
        <x:is>
          <x:t xml:space="preserve">Weekend food order</x:t>
        </x:is>
      </x:c>
    </x:row>
    <x:row r="89">
      <x:c r="A89" s="2" t="n">
        <x:v>46200</x:v>
      </x:c>
      <x:c r="B89" t="inlineStr">
        <x:is>
          <x:t xml:space="preserve">Jun-26</x:t>
        </x:is>
      </x:c>
      <x:c r="C89" t="inlineStr">
        <x:is>
          <x:t xml:space="preserve">Interest</x:t>
        </x:is>
      </x:c>
      <x:c r="D89" t="inlineStr">
        <x:is>
          <x:t xml:space="preserve"/>
        </x:is>
      </x:c>
      <x:c r="E89" t="inlineStr">
        <x:is>
          <x:t xml:space="preserve">N/A</x:t>
        </x:is>
      </x:c>
      <x:c r="F89" t="inlineStr">
        <x:is>
          <x:t xml:space="preserve">Bank Transfer</x:t>
        </x:is>
      </x:c>
      <x:c r="G89" s="3" t="n">
        <x:v>2667</x:v>
      </x:c>
      <x:c r="H89" s="4" t="inlineStr">
        <x:is>
          <x:t xml:space="preserve">Income</x:t>
        </x:is>
      </x:c>
      <x:c r="I89" s="3" t="n">
        <x:v>2667</x:v>
      </x:c>
      <x:c r="J89" s="3" t="n">
        <x:v>0</x:v>
      </x:c>
      <x:c r="K89" s="3" t="n">
        <x:v>0</x:v>
      </x:c>
      <x:c r="L89" t="inlineStr">
        <x:is>
          <x:t xml:space="preserve">Interest from savings / FD</x:t>
        </x:is>
      </x:c>
    </x:row>
    <x:row r="90">
      <x:c r="A90" s="2" t="n">
        <x:v>46204</x:v>
      </x:c>
      <x:c r="B90" t="inlineStr">
        <x:is>
          <x:t xml:space="preserve">Jul-26</x:t>
        </x:is>
      </x:c>
      <x:c r="C90" t="inlineStr">
        <x:is>
          <x:t xml:space="preserve">Salary</x:t>
        </x:is>
      </x:c>
      <x:c r="D90" t="inlineStr">
        <x:is>
          <x:t xml:space="preserve"/>
        </x:is>
      </x:c>
      <x:c r="E90" t="inlineStr">
        <x:is>
          <x:t xml:space="preserve">N/A</x:t>
        </x:is>
      </x:c>
      <x:c r="F90" t="inlineStr">
        <x:is>
          <x:t xml:space="preserve">Bank Transfer</x:t>
        </x:is>
      </x:c>
      <x:c r="G90" s="3" t="n">
        <x:v>93619</x:v>
      </x:c>
      <x:c r="H90" s="4" t="inlineStr">
        <x:is>
          <x:t xml:space="preserve">Income</x:t>
        </x:is>
      </x:c>
      <x:c r="I90" s="3" t="n">
        <x:v>93619</x:v>
      </x:c>
      <x:c r="J90" s="3" t="n">
        <x:v>0</x:v>
      </x:c>
      <x:c r="K90" s="3" t="n">
        <x:v>0</x:v>
      </x:c>
      <x:c r="L90" t="inlineStr">
        <x:is>
          <x:t xml:space="preserve">Monthly salary credited</x:t>
        </x:is>
      </x:c>
    </x:row>
    <x:row r="91">
      <x:c r="A91" s="2" t="n">
        <x:v>46205</x:v>
      </x:c>
      <x:c r="B91" t="inlineStr">
        <x:is>
          <x:t xml:space="preserve">Jul-26</x:t>
        </x:is>
      </x:c>
      <x:c r="C91" t="inlineStr">
        <x:is>
          <x:t xml:space="preserve"/>
        </x:is>
      </x:c>
      <x:c r="D91" t="inlineStr">
        <x:is>
          <x:t xml:space="preserve">Rent</x:t>
        </x:is>
      </x:c>
      <x:c r="E91" t="inlineStr">
        <x:is>
          <x:t xml:space="preserve">Fixed</x:t>
        </x:is>
      </x:c>
      <x:c r="F91" t="inlineStr">
        <x:is>
          <x:t xml:space="preserve">Bank Transfer</x:t>
        </x:is>
      </x:c>
      <x:c r="G91" s="3" t="n">
        <x:v>28000</x:v>
      </x:c>
      <x:c r="H91" s="5" t="inlineStr">
        <x:is>
          <x:t xml:space="preserve">Expense</x:t>
        </x:is>
      </x:c>
      <x:c r="I91" s="3" t="n">
        <x:v>-28000</x:v>
      </x:c>
      <x:c r="J91" s="3" t="n">
        <x:v>28000</x:v>
      </x:c>
      <x:c r="K91" s="3" t="n">
        <x:v>0</x:v>
      </x:c>
      <x:c r="L91" t="inlineStr">
        <x:is>
          <x:t xml:space="preserve">House rent payment</x:t>
        </x:is>
      </x:c>
    </x:row>
    <x:row r="92">
      <x:c r="A92" s="2" t="n">
        <x:v>46208</x:v>
      </x:c>
      <x:c r="B92" t="inlineStr">
        <x:is>
          <x:t xml:space="preserve">Jul-26</x:t>
        </x:is>
      </x:c>
      <x:c r="C92" t="inlineStr">
        <x:is>
          <x:t xml:space="preserve"/>
        </x:is>
      </x:c>
      <x:c r="D92" t="inlineStr">
        <x:is>
          <x:t xml:space="preserve">EMI</x:t>
        </x:is>
      </x:c>
      <x:c r="E92" t="inlineStr">
        <x:is>
          <x:t xml:space="preserve">Fixed</x:t>
        </x:is>
      </x:c>
      <x:c r="F92" t="inlineStr">
        <x:is>
          <x:t xml:space="preserve">Bank Transfer</x:t>
        </x:is>
      </x:c>
      <x:c r="G92" s="3" t="n">
        <x:v>9000</x:v>
      </x:c>
      <x:c r="H92" s="5" t="inlineStr">
        <x:is>
          <x:t xml:space="preserve">Expense</x:t>
        </x:is>
      </x:c>
      <x:c r="I92" s="3" t="n">
        <x:v>-9000</x:v>
      </x:c>
      <x:c r="J92" s="3" t="n">
        <x:v>9000</x:v>
      </x:c>
      <x:c r="K92" s="3" t="n">
        <x:v>0</x:v>
      </x:c>
      <x:c r="L92" t="inlineStr">
        <x:is>
          <x:t xml:space="preserve">Personal loan EMI</x:t>
        </x:is>
      </x:c>
    </x:row>
    <x:row r="93">
      <x:c r="A93" s="2" t="n">
        <x:v>46210</x:v>
      </x:c>
      <x:c r="B93" t="inlineStr">
        <x:is>
          <x:t xml:space="preserve">Jul-26</x:t>
        </x:is>
      </x:c>
      <x:c r="C93" t="inlineStr">
        <x:is>
          <x:t xml:space="preserve"/>
        </x:is>
      </x:c>
      <x:c r="D93" t="inlineStr">
        <x:is>
          <x:t xml:space="preserve">Groceries</x:t>
        </x:is>
      </x:c>
      <x:c r="E93" t="inlineStr">
        <x:is>
          <x:t xml:space="preserve">Variable</x:t>
        </x:is>
      </x:c>
      <x:c r="F93" t="inlineStr">
        <x:is>
          <x:t xml:space="preserve">UPI</x:t>
        </x:is>
      </x:c>
      <x:c r="G93" s="3" t="n">
        <x:v>2991</x:v>
      </x:c>
      <x:c r="H93" s="5" t="inlineStr">
        <x:is>
          <x:t xml:space="preserve">Expense</x:t>
        </x:is>
      </x:c>
      <x:c r="I93" s="3" t="n">
        <x:v>-2991</x:v>
      </x:c>
      <x:c r="J93" s="3" t="n">
        <x:v>6992</x:v>
      </x:c>
      <x:c r="K93" s="3" t="n">
        <x:v>4001</x:v>
      </x:c>
      <x:c r="L93" t="inlineStr">
        <x:is>
          <x:t xml:space="preserve">Supermarket groceries</x:t>
        </x:is>
      </x:c>
    </x:row>
    <x:row r="94">
      <x:c r="A94" s="2" t="n">
        <x:v>46211</x:v>
      </x:c>
      <x:c r="B94" t="inlineStr">
        <x:is>
          <x:t xml:space="preserve">Jul-26</x:t>
        </x:is>
      </x:c>
      <x:c r="C94" t="inlineStr">
        <x:is>
          <x:t xml:space="preserve"/>
        </x:is>
      </x:c>
      <x:c r="D94" t="inlineStr">
        <x:is>
          <x:t xml:space="preserve">Utilities</x:t>
        </x:is>
      </x:c>
      <x:c r="E94" t="inlineStr">
        <x:is>
          <x:t xml:space="preserve">Fixed</x:t>
        </x:is>
      </x:c>
      <x:c r="F94" t="inlineStr">
        <x:is>
          <x:t xml:space="preserve">UPI</x:t>
        </x:is>
      </x:c>
      <x:c r="G94" s="3" t="n">
        <x:v>2163</x:v>
      </x:c>
      <x:c r="H94" s="5" t="inlineStr">
        <x:is>
          <x:t xml:space="preserve">Expense</x:t>
        </x:is>
      </x:c>
      <x:c r="I94" s="3" t="n">
        <x:v>-2163</x:v>
      </x:c>
      <x:c r="J94" s="3" t="n">
        <x:v>3876</x:v>
      </x:c>
      <x:c r="K94" s="3" t="n">
        <x:v>1713</x:v>
      </x:c>
      <x:c r="L94" t="inlineStr">
        <x:is>
          <x:t xml:space="preserve">Electricity bill</x:t>
        </x:is>
      </x:c>
    </x:row>
    <x:row r="95">
      <x:c r="A95" s="2" t="n">
        <x:v>46212</x:v>
      </x:c>
      <x:c r="B95" t="inlineStr">
        <x:is>
          <x:t xml:space="preserve">Jul-26</x:t>
        </x:is>
      </x:c>
      <x:c r="C95" t="inlineStr">
        <x:is>
          <x:t xml:space="preserve"/>
        </x:is>
      </x:c>
      <x:c r="D95" t="inlineStr">
        <x:is>
          <x:t xml:space="preserve">Insurance</x:t>
        </x:is>
      </x:c>
      <x:c r="E95" t="inlineStr">
        <x:is>
          <x:t xml:space="preserve">Fixed</x:t>
        </x:is>
      </x:c>
      <x:c r="F95" t="inlineStr">
        <x:is>
          <x:t xml:space="preserve">Bank Transfer</x:t>
        </x:is>
      </x:c>
      <x:c r="G95" s="3" t="n">
        <x:v>3500</x:v>
      </x:c>
      <x:c r="H95" s="5" t="inlineStr">
        <x:is>
          <x:t xml:space="preserve">Expense</x:t>
        </x:is>
      </x:c>
      <x:c r="I95" s="3" t="n">
        <x:v>-3500</x:v>
      </x:c>
      <x:c r="J95" s="3" t="n">
        <x:v>3500</x:v>
      </x:c>
      <x:c r="K95" s="3" t="n">
        <x:v>0</x:v>
      </x:c>
      <x:c r="L95" t="inlineStr">
        <x:is>
          <x:t xml:space="preserve">Health insurance premium</x:t>
        </x:is>
      </x:c>
    </x:row>
    <x:row r="96">
      <x:c r="A96" s="2" t="n">
        <x:v>46214</x:v>
      </x:c>
      <x:c r="B96" t="inlineStr">
        <x:is>
          <x:t xml:space="preserve">Jul-26</x:t>
        </x:is>
      </x:c>
      <x:c r="C96" t="inlineStr">
        <x:is>
          <x:t xml:space="preserve"/>
        </x:is>
      </x:c>
      <x:c r="D96" t="inlineStr">
        <x:is>
          <x:t xml:space="preserve">Utilities</x:t>
        </x:is>
      </x:c>
      <x:c r="E96" t="inlineStr">
        <x:is>
          <x:t xml:space="preserve">Fixed</x:t>
        </x:is>
      </x:c>
      <x:c r="F96" t="inlineStr">
        <x:is>
          <x:t xml:space="preserve">UPI</x:t>
        </x:is>
      </x:c>
      <x:c r="G96" s="3" t="n">
        <x:v>1300</x:v>
      </x:c>
      <x:c r="H96" s="5" t="inlineStr">
        <x:is>
          <x:t xml:space="preserve">Expense</x:t>
        </x:is>
      </x:c>
      <x:c r="I96" s="3" t="n">
        <x:v>-1300</x:v>
      </x:c>
      <x:c r="J96" s="3" t="n">
        <x:v>3876</x:v>
      </x:c>
      <x:c r="K96" s="3" t="n">
        <x:v>2576</x:v>
      </x:c>
      <x:c r="L96" t="inlineStr">
        <x:is>
          <x:t xml:space="preserve">Internet / mobile bill</x:t>
        </x:is>
      </x:c>
    </x:row>
    <x:row r="97">
      <x:c r="A97" s="2" t="n">
        <x:v>46215</x:v>
      </x:c>
      <x:c r="B97" t="inlineStr">
        <x:is>
          <x:t xml:space="preserve">Jul-26</x:t>
        </x:is>
      </x:c>
      <x:c r="C97" t="inlineStr">
        <x:is>
          <x:t xml:space="preserve"/>
        </x:is>
      </x:c>
      <x:c r="D97" t="inlineStr">
        <x:is>
          <x:t xml:space="preserve">Food</x:t>
        </x:is>
      </x:c>
      <x:c r="E97" t="inlineStr">
        <x:is>
          <x:t xml:space="preserve">Variable</x:t>
        </x:is>
      </x:c>
      <x:c r="F97" t="inlineStr">
        <x:is>
          <x:t xml:space="preserve">Credit Card</x:t>
        </x:is>
      </x:c>
      <x:c r="G97" s="3" t="n">
        <x:v>2194</x:v>
      </x:c>
      <x:c r="H97" s="5" t="inlineStr">
        <x:is>
          <x:t xml:space="preserve">Expense</x:t>
        </x:is>
      </x:c>
      <x:c r="I97" s="3" t="n">
        <x:v>-2194</x:v>
      </x:c>
      <x:c r="J97" s="3" t="n">
        <x:v>5563</x:v>
      </x:c>
      <x:c r="K97" s="3" t="n">
        <x:v>3369</x:v>
      </x:c>
      <x:c r="L97" t="inlineStr">
        <x:is>
          <x:t xml:space="preserve">Dining out / office lunch</x:t>
        </x:is>
      </x:c>
    </x:row>
    <x:row r="98">
      <x:c r="A98" s="2" t="n">
        <x:v>46219</x:v>
      </x:c>
      <x:c r="B98" t="inlineStr">
        <x:is>
          <x:t xml:space="preserve">Jul-26</x:t>
        </x:is>
      </x:c>
      <x:c r="C98" t="inlineStr">
        <x:is>
          <x:t xml:space="preserve"/>
        </x:is>
      </x:c>
      <x:c r="D98" t="inlineStr">
        <x:is>
          <x:t xml:space="preserve">Shopping</x:t>
        </x:is>
      </x:c>
      <x:c r="E98" t="inlineStr">
        <x:is>
          <x:t xml:space="preserve">Variable</x:t>
        </x:is>
      </x:c>
      <x:c r="F98" t="inlineStr">
        <x:is>
          <x:t xml:space="preserve">UPI</x:t>
        </x:is>
      </x:c>
      <x:c r="G98" s="3" t="n">
        <x:v>1517</x:v>
      </x:c>
      <x:c r="H98" s="5" t="inlineStr">
        <x:is>
          <x:t xml:space="preserve">Expense</x:t>
        </x:is>
      </x:c>
      <x:c r="I98" s="3" t="n">
        <x:v>-1517</x:v>
      </x:c>
      <x:c r="J98" s="3" t="n">
        <x:v>4606</x:v>
      </x:c>
      <x:c r="K98" s="3" t="n">
        <x:v>3089</x:v>
      </x:c>
      <x:c r="L98" t="inlineStr">
        <x:is>
          <x:t xml:space="preserve">Apparel / lifestyle purchase</x:t>
        </x:is>
      </x:c>
    </x:row>
    <x:row r="99">
      <x:c r="A99" s="2" t="n">
        <x:v>46221</x:v>
      </x:c>
      <x:c r="B99" t="inlineStr">
        <x:is>
          <x:t xml:space="preserve">Jul-26</x:t>
        </x:is>
      </x:c>
      <x:c r="C99" t="inlineStr">
        <x:is>
          <x:t xml:space="preserve"/>
        </x:is>
      </x:c>
      <x:c r="D99" t="inlineStr">
        <x:is>
          <x:t xml:space="preserve">Entertainment</x:t>
        </x:is>
      </x:c>
      <x:c r="E99" t="inlineStr">
        <x:is>
          <x:t xml:space="preserve">Variable</x:t>
        </x:is>
      </x:c>
      <x:c r="F99" t="inlineStr">
        <x:is>
          <x:t xml:space="preserve">UPI</x:t>
        </x:is>
      </x:c>
      <x:c r="G99" s="3" t="n">
        <x:v>1237</x:v>
      </x:c>
      <x:c r="H99" s="5" t="inlineStr">
        <x:is>
          <x:t xml:space="preserve">Expense</x:t>
        </x:is>
      </x:c>
      <x:c r="I99" s="3" t="n">
        <x:v>-1237</x:v>
      </x:c>
      <x:c r="J99" s="3" t="n">
        <x:v>2969</x:v>
      </x:c>
      <x:c r="K99" s="3" t="n">
        <x:v>1732</x:v>
      </x:c>
      <x:c r="L99" t="inlineStr">
        <x:is>
          <x:t xml:space="preserve">Movies / subscriptions</x:t>
        </x:is>
      </x:c>
    </x:row>
    <x:row r="100">
      <x:c r="A100" s="2" t="n">
        <x:v>46223</x:v>
      </x:c>
      <x:c r="B100" t="inlineStr">
        <x:is>
          <x:t xml:space="preserve">Jul-26</x:t>
        </x:is>
      </x:c>
      <x:c r="C100" t="inlineStr">
        <x:is>
          <x:t xml:space="preserve"/>
        </x:is>
      </x:c>
      <x:c r="D100" t="inlineStr">
        <x:is>
          <x:t xml:space="preserve">Healthcare</x:t>
        </x:is>
      </x:c>
      <x:c r="E100" t="inlineStr">
        <x:is>
          <x:t xml:space="preserve">Variable</x:t>
        </x:is>
      </x:c>
      <x:c r="F100" t="inlineStr">
        <x:is>
          <x:t xml:space="preserve">Cash</x:t>
        </x:is>
      </x:c>
      <x:c r="G100" s="3" t="n">
        <x:v>4411</x:v>
      </x:c>
      <x:c r="H100" s="5" t="inlineStr">
        <x:is>
          <x:t xml:space="preserve">Expense</x:t>
        </x:is>
      </x:c>
      <x:c r="I100" s="3" t="n">
        <x:v>-4411</x:v>
      </x:c>
      <x:c r="J100" s="3" t="n">
        <x:v>3328</x:v>
      </x:c>
      <x:c r="K100" s="3" t="n">
        <x:v>-1083</x:v>
      </x:c>
      <x:c r="L100" t="inlineStr">
        <x:is>
          <x:t xml:space="preserve">Medicines / doctor consultation</x:t>
        </x:is>
      </x:c>
    </x:row>
    <x:row r="101">
      <x:c r="A101" s="2" t="n">
        <x:v>46224</x:v>
      </x:c>
      <x:c r="B101" t="inlineStr">
        <x:is>
          <x:t xml:space="preserve">Jul-26</x:t>
        </x:is>
      </x:c>
      <x:c r="C101" t="inlineStr">
        <x:is>
          <x:t xml:space="preserve"/>
        </x:is>
      </x:c>
      <x:c r="D101" t="inlineStr">
        <x:is>
          <x:t xml:space="preserve">Groceries</x:t>
        </x:is>
      </x:c>
      <x:c r="E101" t="inlineStr">
        <x:is>
          <x:t xml:space="preserve">Variable</x:t>
        </x:is>
      </x:c>
      <x:c r="F101" t="inlineStr">
        <x:is>
          <x:t xml:space="preserve">Credit Card</x:t>
        </x:is>
      </x:c>
      <x:c r="G101" s="3" t="n">
        <x:v>3140</x:v>
      </x:c>
      <x:c r="H101" s="5" t="inlineStr">
        <x:is>
          <x:t xml:space="preserve">Expense</x:t>
        </x:is>
      </x:c>
      <x:c r="I101" s="3" t="n">
        <x:v>-3140</x:v>
      </x:c>
      <x:c r="J101" s="3" t="n">
        <x:v>6992</x:v>
      </x:c>
      <x:c r="K101" s="3" t="n">
        <x:v>3852</x:v>
      </x:c>
      <x:c r="L101" t="inlineStr">
        <x:is>
          <x:t xml:space="preserve">Monthly essentials restock</x:t>
        </x:is>
      </x:c>
    </x:row>
    <x:row r="102">
      <x:c r="A102" s="2" t="n">
        <x:v>46228</x:v>
      </x:c>
      <x:c r="B102" t="inlineStr">
        <x:is>
          <x:t xml:space="preserve">Jul-26</x:t>
        </x:is>
      </x:c>
      <x:c r="C102" t="inlineStr">
        <x:is>
          <x:t xml:space="preserve"/>
        </x:is>
      </x:c>
      <x:c r="D102" t="inlineStr">
        <x:is>
          <x:t xml:space="preserve">Food</x:t>
        </x:is>
      </x:c>
      <x:c r="E102" t="inlineStr">
        <x:is>
          <x:t xml:space="preserve">Variable</x:t>
        </x:is>
      </x:c>
      <x:c r="F102" t="inlineStr">
        <x:is>
          <x:t xml:space="preserve">Credit Card</x:t>
        </x:is>
      </x:c>
      <x:c r="G102" s="3" t="n">
        <x:v>1637</x:v>
      </x:c>
      <x:c r="H102" s="5" t="inlineStr">
        <x:is>
          <x:t xml:space="preserve">Expense</x:t>
        </x:is>
      </x:c>
      <x:c r="I102" s="3" t="n">
        <x:v>-1637</x:v>
      </x:c>
      <x:c r="J102" s="3" t="n">
        <x:v>5563</x:v>
      </x:c>
      <x:c r="K102" s="3" t="n">
        <x:v>3926</x:v>
      </x:c>
      <x:c r="L102" t="inlineStr">
        <x:is>
          <x:t xml:space="preserve">Weekend food order</x:t>
        </x:is>
      </x:c>
    </x:row>
    <x:row r="103">
      <x:c r="A103" s="2" t="n">
        <x:v>46235</x:v>
      </x:c>
      <x:c r="B103" t="inlineStr">
        <x:is>
          <x:t xml:space="preserve">Aug-26</x:t>
        </x:is>
      </x:c>
      <x:c r="C103" t="inlineStr">
        <x:is>
          <x:t xml:space="preserve">Salary</x:t>
        </x:is>
      </x:c>
      <x:c r="D103" t="inlineStr">
        <x:is>
          <x:t xml:space="preserve"/>
        </x:is>
      </x:c>
      <x:c r="E103" t="inlineStr">
        <x:is>
          <x:t xml:space="preserve">N/A</x:t>
        </x:is>
      </x:c>
      <x:c r="F103" t="inlineStr">
        <x:is>
          <x:t xml:space="preserve">Bank Transfer</x:t>
        </x:is>
      </x:c>
      <x:c r="G103" s="3" t="n">
        <x:v>93431</x:v>
      </x:c>
      <x:c r="H103" s="4" t="inlineStr">
        <x:is>
          <x:t xml:space="preserve">Income</x:t>
        </x:is>
      </x:c>
      <x:c r="I103" s="3" t="n">
        <x:v>93431</x:v>
      </x:c>
      <x:c r="J103" s="3" t="n">
        <x:v>0</x:v>
      </x:c>
      <x:c r="K103" s="3" t="n">
        <x:v>0</x:v>
      </x:c>
      <x:c r="L103" t="inlineStr">
        <x:is>
          <x:t xml:space="preserve">Monthly salary credited</x:t>
        </x:is>
      </x:c>
    </x:row>
    <x:row r="104">
      <x:c r="A104" s="2" t="n">
        <x:v>46236</x:v>
      </x:c>
      <x:c r="B104" t="inlineStr">
        <x:is>
          <x:t xml:space="preserve">Aug-26</x:t>
        </x:is>
      </x:c>
      <x:c r="C104" t="inlineStr">
        <x:is>
          <x:t xml:space="preserve"/>
        </x:is>
      </x:c>
      <x:c r="D104" t="inlineStr">
        <x:is>
          <x:t xml:space="preserve">Rent</x:t>
        </x:is>
      </x:c>
      <x:c r="E104" t="inlineStr">
        <x:is>
          <x:t xml:space="preserve">Fixed</x:t>
        </x:is>
      </x:c>
      <x:c r="F104" t="inlineStr">
        <x:is>
          <x:t xml:space="preserve">Bank Transfer</x:t>
        </x:is>
      </x:c>
      <x:c r="G104" s="3" t="n">
        <x:v>28000</x:v>
      </x:c>
      <x:c r="H104" s="5" t="inlineStr">
        <x:is>
          <x:t xml:space="preserve">Expense</x:t>
        </x:is>
      </x:c>
      <x:c r="I104" s="3" t="n">
        <x:v>-28000</x:v>
      </x:c>
      <x:c r="J104" s="3" t="n">
        <x:v>28000</x:v>
      </x:c>
      <x:c r="K104" s="3" t="n">
        <x:v>0</x:v>
      </x:c>
      <x:c r="L104" t="inlineStr">
        <x:is>
          <x:t xml:space="preserve">House rent payment</x:t>
        </x:is>
      </x:c>
    </x:row>
    <x:row r="105">
      <x:c r="A105" s="2" t="n">
        <x:v>46239</x:v>
      </x:c>
      <x:c r="B105" t="inlineStr">
        <x:is>
          <x:t xml:space="preserve">Aug-26</x:t>
        </x:is>
      </x:c>
      <x:c r="C105" t="inlineStr">
        <x:is>
          <x:t xml:space="preserve"/>
        </x:is>
      </x:c>
      <x:c r="D105" t="inlineStr">
        <x:is>
          <x:t xml:space="preserve">EMI</x:t>
        </x:is>
      </x:c>
      <x:c r="E105" t="inlineStr">
        <x:is>
          <x:t xml:space="preserve">Fixed</x:t>
        </x:is>
      </x:c>
      <x:c r="F105" t="inlineStr">
        <x:is>
          <x:t xml:space="preserve">Bank Transfer</x:t>
        </x:is>
      </x:c>
      <x:c r="G105" s="3" t="n">
        <x:v>9000</x:v>
      </x:c>
      <x:c r="H105" s="5" t="inlineStr">
        <x:is>
          <x:t xml:space="preserve">Expense</x:t>
        </x:is>
      </x:c>
      <x:c r="I105" s="3" t="n">
        <x:v>-9000</x:v>
      </x:c>
      <x:c r="J105" s="3" t="n">
        <x:v>9000</x:v>
      </x:c>
      <x:c r="K105" s="3" t="n">
        <x:v>0</x:v>
      </x:c>
      <x:c r="L105" t="inlineStr">
        <x:is>
          <x:t xml:space="preserve">Personal loan EMI</x:t>
        </x:is>
      </x:c>
    </x:row>
    <x:row r="106">
      <x:c r="A106" s="2" t="n">
        <x:v>46241</x:v>
      </x:c>
      <x:c r="B106" t="inlineStr">
        <x:is>
          <x:t xml:space="preserve">Aug-26</x:t>
        </x:is>
      </x:c>
      <x:c r="C106" t="inlineStr">
        <x:is>
          <x:t xml:space="preserve"/>
        </x:is>
      </x:c>
      <x:c r="D106" t="inlineStr">
        <x:is>
          <x:t xml:space="preserve">Groceries</x:t>
        </x:is>
      </x:c>
      <x:c r="E106" t="inlineStr">
        <x:is>
          <x:t xml:space="preserve">Variable</x:t>
        </x:is>
      </x:c>
      <x:c r="F106" t="inlineStr">
        <x:is>
          <x:t xml:space="preserve">Credit Card</x:t>
        </x:is>
      </x:c>
      <x:c r="G106" s="3" t="n">
        <x:v>3188</x:v>
      </x:c>
      <x:c r="H106" s="5" t="inlineStr">
        <x:is>
          <x:t xml:space="preserve">Expense</x:t>
        </x:is>
      </x:c>
      <x:c r="I106" s="3" t="n">
        <x:v>-3188</x:v>
      </x:c>
      <x:c r="J106" s="3" t="n">
        <x:v>7127</x:v>
      </x:c>
      <x:c r="K106" s="3" t="n">
        <x:v>3939</x:v>
      </x:c>
      <x:c r="L106" t="inlineStr">
        <x:is>
          <x:t xml:space="preserve">Supermarket groceries</x:t>
        </x:is>
      </x:c>
    </x:row>
    <x:row r="107">
      <x:c r="A107" s="2" t="n">
        <x:v>46242</x:v>
      </x:c>
      <x:c r="B107" t="inlineStr">
        <x:is>
          <x:t xml:space="preserve">Aug-26</x:t>
        </x:is>
      </x:c>
      <x:c r="C107" t="inlineStr">
        <x:is>
          <x:t xml:space="preserve"/>
        </x:is>
      </x:c>
      <x:c r="D107" t="inlineStr">
        <x:is>
          <x:t xml:space="preserve">Utilities</x:t>
        </x:is>
      </x:c>
      <x:c r="E107" t="inlineStr">
        <x:is>
          <x:t xml:space="preserve">Fixed</x:t>
        </x:is>
      </x:c>
      <x:c r="F107" t="inlineStr">
        <x:is>
          <x:t xml:space="preserve">Bank Transfer</x:t>
        </x:is>
      </x:c>
      <x:c r="G107" s="3" t="n">
        <x:v>2313</x:v>
      </x:c>
      <x:c r="H107" s="5" t="inlineStr">
        <x:is>
          <x:t xml:space="preserve">Expense</x:t>
        </x:is>
      </x:c>
      <x:c r="I107" s="3" t="n">
        <x:v>-2313</x:v>
      </x:c>
      <x:c r="J107" s="3" t="n">
        <x:v>4772</x:v>
      </x:c>
      <x:c r="K107" s="3" t="n">
        <x:v>2459</x:v>
      </x:c>
      <x:c r="L107" t="inlineStr">
        <x:is>
          <x:t xml:space="preserve">Electricity bill</x:t>
        </x:is>
      </x:c>
    </x:row>
    <x:row r="108">
      <x:c r="A108" s="2" t="n">
        <x:v>46245</x:v>
      </x:c>
      <x:c r="B108" t="inlineStr">
        <x:is>
          <x:t xml:space="preserve">Aug-26</x:t>
        </x:is>
      </x:c>
      <x:c r="C108" t="inlineStr">
        <x:is>
          <x:t xml:space="preserve"/>
        </x:is>
      </x:c>
      <x:c r="D108" t="inlineStr">
        <x:is>
          <x:t xml:space="preserve">Utilities</x:t>
        </x:is>
      </x:c>
      <x:c r="E108" t="inlineStr">
        <x:is>
          <x:t xml:space="preserve">Fixed</x:t>
        </x:is>
      </x:c>
      <x:c r="F108" t="inlineStr">
        <x:is>
          <x:t xml:space="preserve">UPI</x:t>
        </x:is>
      </x:c>
      <x:c r="G108" s="3" t="n">
        <x:v>1948</x:v>
      </x:c>
      <x:c r="H108" s="5" t="inlineStr">
        <x:is>
          <x:t xml:space="preserve">Expense</x:t>
        </x:is>
      </x:c>
      <x:c r="I108" s="3" t="n">
        <x:v>-1948</x:v>
      </x:c>
      <x:c r="J108" s="3" t="n">
        <x:v>4772</x:v>
      </x:c>
      <x:c r="K108" s="3" t="n">
        <x:v>2824</x:v>
      </x:c>
      <x:c r="L108" t="inlineStr">
        <x:is>
          <x:t xml:space="preserve">Internet / mobile bill</x:t>
        </x:is>
      </x:c>
    </x:row>
    <x:row r="109">
      <x:c r="A109" s="2" t="n">
        <x:v>46246</x:v>
      </x:c>
      <x:c r="B109" t="inlineStr">
        <x:is>
          <x:t xml:space="preserve">Aug-26</x:t>
        </x:is>
      </x:c>
      <x:c r="C109" t="inlineStr">
        <x:is>
          <x:t xml:space="preserve"/>
        </x:is>
      </x:c>
      <x:c r="D109" t="inlineStr">
        <x:is>
          <x:t xml:space="preserve">Food</x:t>
        </x:is>
      </x:c>
      <x:c r="E109" t="inlineStr">
        <x:is>
          <x:t xml:space="preserve">Variable</x:t>
        </x:is>
      </x:c>
      <x:c r="F109" t="inlineStr">
        <x:is>
          <x:t xml:space="preserve">Cash</x:t>
        </x:is>
      </x:c>
      <x:c r="G109" s="3" t="n">
        <x:v>2386</x:v>
      </x:c>
      <x:c r="H109" s="5" t="inlineStr">
        <x:is>
          <x:t xml:space="preserve">Expense</x:t>
        </x:is>
      </x:c>
      <x:c r="I109" s="3" t="n">
        <x:v>-2386</x:v>
      </x:c>
      <x:c r="J109" s="3" t="n">
        <x:v>5829</x:v>
      </x:c>
      <x:c r="K109" s="3" t="n">
        <x:v>3443</x:v>
      </x:c>
      <x:c r="L109" t="inlineStr">
        <x:is>
          <x:t xml:space="preserve">Dining out / office lunch</x:t>
        </x:is>
      </x:c>
    </x:row>
    <x:row r="110">
      <x:c r="A110" s="2" t="n">
        <x:v>46248</x:v>
      </x:c>
      <x:c r="B110" t="inlineStr">
        <x:is>
          <x:t xml:space="preserve">Aug-26</x:t>
        </x:is>
      </x:c>
      <x:c r="C110" t="inlineStr">
        <x:is>
          <x:t xml:space="preserve"/>
        </x:is>
      </x:c>
      <x:c r="D110" t="inlineStr">
        <x:is>
          <x:t xml:space="preserve">Travel</x:t>
        </x:is>
      </x:c>
      <x:c r="E110" t="inlineStr">
        <x:is>
          <x:t xml:space="preserve">Variable</x:t>
        </x:is>
      </x:c>
      <x:c r="F110" t="inlineStr">
        <x:is>
          <x:t xml:space="preserve">Credit Card</x:t>
        </x:is>
      </x:c>
      <x:c r="G110" s="3" t="n">
        <x:v>8660</x:v>
      </x:c>
      <x:c r="H110" s="5" t="inlineStr">
        <x:is>
          <x:t xml:space="preserve">Expense</x:t>
        </x:is>
      </x:c>
      <x:c r="I110" s="3" t="n">
        <x:v>-8660</x:v>
      </x:c>
      <x:c r="J110" s="3" t="n">
        <x:v>5337</x:v>
      </x:c>
      <x:c r="K110" s="3" t="n">
        <x:v>-3323</x:v>
      </x:c>
      <x:c r="L110" t="inlineStr">
        <x:is>
          <x:t xml:space="preserve">Short trip / weekend getaway</x:t>
        </x:is>
      </x:c>
    </x:row>
    <x:row r="111">
      <x:c r="A111" s="2" t="n">
        <x:v>46249</x:v>
      </x:c>
      <x:c r="B111" t="inlineStr">
        <x:is>
          <x:t xml:space="preserve">Aug-26</x:t>
        </x:is>
      </x:c>
      <x:c r="C111" t="inlineStr">
        <x:is>
          <x:t xml:space="preserve"/>
        </x:is>
      </x:c>
      <x:c r="D111" t="inlineStr">
        <x:is>
          <x:t xml:space="preserve">Healthcare</x:t>
        </x:is>
      </x:c>
      <x:c r="E111" t="inlineStr">
        <x:is>
          <x:t xml:space="preserve">Variable</x:t>
        </x:is>
      </x:c>
      <x:c r="F111" t="inlineStr">
        <x:is>
          <x:t xml:space="preserve">Credit Card</x:t>
        </x:is>
      </x:c>
      <x:c r="G111" s="3" t="n">
        <x:v>740</x:v>
      </x:c>
      <x:c r="H111" s="5" t="inlineStr">
        <x:is>
          <x:t xml:space="preserve">Expense</x:t>
        </x:is>
      </x:c>
      <x:c r="I111" s="3" t="n">
        <x:v>-740</x:v>
      </x:c>
      <x:c r="J111" s="3" t="n">
        <x:v>3727</x:v>
      </x:c>
      <x:c r="K111" s="3" t="n">
        <x:v>2987</x:v>
      </x:c>
      <x:c r="L111" t="inlineStr">
        <x:is>
          <x:t xml:space="preserve">Health and wellness spend</x:t>
        </x:is>
      </x:c>
    </x:row>
    <x:row r="112">
      <x:c r="A112" s="2" t="n">
        <x:v>46250</x:v>
      </x:c>
      <x:c r="B112" t="inlineStr">
        <x:is>
          <x:t xml:space="preserve">Aug-26</x:t>
        </x:is>
      </x:c>
      <x:c r="C112" t="inlineStr">
        <x:is>
          <x:t xml:space="preserve"/>
        </x:is>
      </x:c>
      <x:c r="D112" t="inlineStr">
        <x:is>
          <x:t xml:space="preserve">Shopping</x:t>
        </x:is>
      </x:c>
      <x:c r="E112" t="inlineStr">
        <x:is>
          <x:t xml:space="preserve">Variable</x:t>
        </x:is>
      </x:c>
      <x:c r="F112" t="inlineStr">
        <x:is>
          <x:t xml:space="preserve">Credit Card</x:t>
        </x:is>
      </x:c>
      <x:c r="G112" s="3" t="n">
        <x:v>1910</x:v>
      </x:c>
      <x:c r="H112" s="5" t="inlineStr">
        <x:is>
          <x:t xml:space="preserve">Expense</x:t>
        </x:is>
      </x:c>
      <x:c r="I112" s="3" t="n">
        <x:v>-1910</x:v>
      </x:c>
      <x:c r="J112" s="3" t="n">
        <x:v>4946</x:v>
      </x:c>
      <x:c r="K112" s="3" t="n">
        <x:v>3036</x:v>
      </x:c>
      <x:c r="L112" t="inlineStr">
        <x:is>
          <x:t xml:space="preserve">Apparel / lifestyle purchase</x:t>
        </x:is>
      </x:c>
    </x:row>
    <x:row r="113">
      <x:c r="A113" s="2" t="n">
        <x:v>46251</x:v>
      </x:c>
      <x:c r="B113" t="inlineStr">
        <x:is>
          <x:t xml:space="preserve">Aug-26</x:t>
        </x:is>
      </x:c>
      <x:c r="C113" t="inlineStr">
        <x:is>
          <x:t xml:space="preserve">Freelance</x:t>
        </x:is>
      </x:c>
      <x:c r="D113" t="inlineStr">
        <x:is>
          <x:t xml:space="preserve"/>
        </x:is>
      </x:c>
      <x:c r="E113" t="inlineStr">
        <x:is>
          <x:t xml:space="preserve">N/A</x:t>
        </x:is>
      </x:c>
      <x:c r="F113" t="inlineStr">
        <x:is>
          <x:t xml:space="preserve">UPI</x:t>
        </x:is>
      </x:c>
      <x:c r="G113" s="3" t="n">
        <x:v>19454</x:v>
      </x:c>
      <x:c r="H113" s="4" t="inlineStr">
        <x:is>
          <x:t xml:space="preserve">Income</x:t>
        </x:is>
      </x:c>
      <x:c r="I113" s="3" t="n">
        <x:v>19454</x:v>
      </x:c>
      <x:c r="J113" s="3" t="n">
        <x:v>0</x:v>
      </x:c>
      <x:c r="K113" s="3" t="n">
        <x:v>0</x:v>
      </x:c>
      <x:c r="L113" t="inlineStr">
        <x:is>
          <x:t xml:space="preserve">Freelance project payment</x:t>
        </x:is>
      </x:c>
    </x:row>
    <x:row r="114">
      <x:c r="A114" s="2" t="n">
        <x:v>46252</x:v>
      </x:c>
      <x:c r="B114" t="inlineStr">
        <x:is>
          <x:t xml:space="preserve">Aug-26</x:t>
        </x:is>
      </x:c>
      <x:c r="C114" t="inlineStr">
        <x:is>
          <x:t xml:space="preserve"/>
        </x:is>
      </x:c>
      <x:c r="D114" t="inlineStr">
        <x:is>
          <x:t xml:space="preserve">Entertainment</x:t>
        </x:is>
      </x:c>
      <x:c r="E114" t="inlineStr">
        <x:is>
          <x:t xml:space="preserve">Variable</x:t>
        </x:is>
      </x:c>
      <x:c r="F114" t="inlineStr">
        <x:is>
          <x:t xml:space="preserve">Cash</x:t>
        </x:is>
      </x:c>
      <x:c r="G114" s="3" t="n">
        <x:v>1542</x:v>
      </x:c>
      <x:c r="H114" s="5" t="inlineStr">
        <x:is>
          <x:t xml:space="preserve">Expense</x:t>
        </x:is>
      </x:c>
      <x:c r="I114" s="3" t="n">
        <x:v>-1542</x:v>
      </x:c>
      <x:c r="J114" s="3" t="n">
        <x:v>3799</x:v>
      </x:c>
      <x:c r="K114" s="3" t="n">
        <x:v>2257</x:v>
      </x:c>
      <x:c r="L114" t="inlineStr">
        <x:is>
          <x:t xml:space="preserve">Movies / subscriptions</x:t>
        </x:is>
      </x:c>
    </x:row>
    <x:row r="115">
      <x:c r="A115" s="2" t="n">
        <x:v>46255</x:v>
      </x:c>
      <x:c r="B115" t="inlineStr">
        <x:is>
          <x:t xml:space="preserve">Aug-26</x:t>
        </x:is>
      </x:c>
      <x:c r="C115" t="inlineStr">
        <x:is>
          <x:t xml:space="preserve"/>
        </x:is>
      </x:c>
      <x:c r="D115" t="inlineStr">
        <x:is>
          <x:t xml:space="preserve">Groceries</x:t>
        </x:is>
      </x:c>
      <x:c r="E115" t="inlineStr">
        <x:is>
          <x:t xml:space="preserve">Variable</x:t>
        </x:is>
      </x:c>
      <x:c r="F115" t="inlineStr">
        <x:is>
          <x:t xml:space="preserve">UPI</x:t>
        </x:is>
      </x:c>
      <x:c r="G115" s="3" t="n">
        <x:v>3245</x:v>
      </x:c>
      <x:c r="H115" s="5" t="inlineStr">
        <x:is>
          <x:t xml:space="preserve">Expense</x:t>
        </x:is>
      </x:c>
      <x:c r="I115" s="3" t="n">
        <x:v>-3245</x:v>
      </x:c>
      <x:c r="J115" s="3" t="n">
        <x:v>7127</x:v>
      </x:c>
      <x:c r="K115" s="3" t="n">
        <x:v>3882</x:v>
      </x:c>
      <x:c r="L115" t="inlineStr">
        <x:is>
          <x:t xml:space="preserve">Monthly essentials restock</x:t>
        </x:is>
      </x:c>
    </x:row>
    <x:row r="116">
      <x:c r="A116" s="2" t="n">
        <x:v>46259</x:v>
      </x:c>
      <x:c r="B116" t="inlineStr">
        <x:is>
          <x:t xml:space="preserve">Aug-26</x:t>
        </x:is>
      </x:c>
      <x:c r="C116" t="inlineStr">
        <x:is>
          <x:t xml:space="preserve"/>
        </x:is>
      </x:c>
      <x:c r="D116" t="inlineStr">
        <x:is>
          <x:t xml:space="preserve">Food</x:t>
        </x:is>
      </x:c>
      <x:c r="E116" t="inlineStr">
        <x:is>
          <x:t xml:space="preserve">Variable</x:t>
        </x:is>
      </x:c>
      <x:c r="F116" t="inlineStr">
        <x:is>
          <x:t xml:space="preserve">UPI</x:t>
        </x:is>
      </x:c>
      <x:c r="G116" s="3" t="n">
        <x:v>2310</x:v>
      </x:c>
      <x:c r="H116" s="5" t="inlineStr">
        <x:is>
          <x:t xml:space="preserve">Expense</x:t>
        </x:is>
      </x:c>
      <x:c r="I116" s="3" t="n">
        <x:v>-2310</x:v>
      </x:c>
      <x:c r="J116" s="3" t="n">
        <x:v>5829</x:v>
      </x:c>
      <x:c r="K116" s="3" t="n">
        <x:v>3519</x:v>
      </x:c>
      <x:c r="L116" t="inlineStr">
        <x:is>
          <x:t xml:space="preserve">Weekend food order</x:t>
        </x:is>
      </x:c>
    </x:row>
    <x:row r="117">
      <x:c r="A117" s="2" t="n">
        <x:v>46260</x:v>
      </x:c>
      <x:c r="B117" t="inlineStr">
        <x:is>
          <x:t xml:space="preserve">Aug-26</x:t>
        </x:is>
      </x:c>
      <x:c r="C117" t="inlineStr">
        <x:is>
          <x:t xml:space="preserve"/>
        </x:is>
      </x:c>
      <x:c r="D117" t="inlineStr">
        <x:is>
          <x:t xml:space="preserve">Education</x:t>
        </x:is>
      </x:c>
      <x:c r="E117" t="inlineStr">
        <x:is>
          <x:t xml:space="preserve">Variable</x:t>
        </x:is>
      </x:c>
      <x:c r="F117" t="inlineStr">
        <x:is>
          <x:t xml:space="preserve">Bank Transfer</x:t>
        </x:is>
      </x:c>
      <x:c r="G117" s="3" t="n">
        <x:v>2078</x:v>
      </x:c>
      <x:c r="H117" s="5" t="inlineStr">
        <x:is>
          <x:t xml:space="preserve">Expense</x:t>
        </x:is>
      </x:c>
      <x:c r="I117" s="3" t="n">
        <x:v>-2078</x:v>
      </x:c>
      <x:c r="J117" s="3" t="n">
        <x:v>3147</x:v>
      </x:c>
      <x:c r="K117" s="3" t="n">
        <x:v>1069</x:v>
      </x:c>
      <x:c r="L117" t="inlineStr">
        <x:is>
          <x:t xml:space="preserve">Course / books / certification</x:t>
        </x:is>
      </x:c>
    </x:row>
    <x:row r="118">
      <x:c r="A118" s="2" t="n">
        <x:v>46262</x:v>
      </x:c>
      <x:c r="B118" t="inlineStr">
        <x:is>
          <x:t xml:space="preserve">Aug-26</x:t>
        </x:is>
      </x:c>
      <x:c r="C118" t="inlineStr">
        <x:is>
          <x:t xml:space="preserve"/>
        </x:is>
      </x:c>
      <x:c r="D118" t="inlineStr">
        <x:is>
          <x:t xml:space="preserve">Travel</x:t>
        </x:is>
      </x:c>
      <x:c r="E118" t="inlineStr">
        <x:is>
          <x:t xml:space="preserve">Variable</x:t>
        </x:is>
      </x:c>
      <x:c r="F118" t="inlineStr">
        <x:is>
          <x:t xml:space="preserve">Cash</x:t>
        </x:is>
      </x:c>
      <x:c r="G118" s="3" t="n">
        <x:v>6150</x:v>
      </x:c>
      <x:c r="H118" s="5" t="inlineStr">
        <x:is>
          <x:t xml:space="preserve">Expense</x:t>
        </x:is>
      </x:c>
      <x:c r="I118" s="3" t="n">
        <x:v>-6150</x:v>
      </x:c>
      <x:c r="J118" s="3" t="n">
        <x:v>5337</x:v>
      </x:c>
      <x:c r="K118" s="3" t="n">
        <x:v>-813</x:v>
      </x:c>
      <x:c r="L118" t="inlineStr">
        <x:is>
          <x:t xml:space="preserve">Cab / fuel / local travel</x:t>
        </x:is>
      </x:c>
    </x:row>
    <x:row r="119">
      <x:c r="A119" s="2" t="n">
        <x:v>46266</x:v>
      </x:c>
      <x:c r="B119" t="inlineStr">
        <x:is>
          <x:t xml:space="preserve">Sep-26</x:t>
        </x:is>
      </x:c>
      <x:c r="C119" t="inlineStr">
        <x:is>
          <x:t xml:space="preserve">Salary</x:t>
        </x:is>
      </x:c>
      <x:c r="D119" t="inlineStr">
        <x:is>
          <x:t xml:space="preserve"/>
        </x:is>
      </x:c>
      <x:c r="E119" t="inlineStr">
        <x:is>
          <x:t xml:space="preserve">N/A</x:t>
        </x:is>
      </x:c>
      <x:c r="F119" t="inlineStr">
        <x:is>
          <x:t xml:space="preserve">Bank Transfer</x:t>
        </x:is>
      </x:c>
      <x:c r="G119" s="3" t="n">
        <x:v>92531</x:v>
      </x:c>
      <x:c r="H119" s="4" t="inlineStr">
        <x:is>
          <x:t xml:space="preserve">Income</x:t>
        </x:is>
      </x:c>
      <x:c r="I119" s="3" t="n">
        <x:v>92531</x:v>
      </x:c>
      <x:c r="J119" s="3" t="n">
        <x:v>0</x:v>
      </x:c>
      <x:c r="K119" s="3" t="n">
        <x:v>0</x:v>
      </x:c>
      <x:c r="L119" t="inlineStr">
        <x:is>
          <x:t xml:space="preserve">Monthly salary credited</x:t>
        </x:is>
      </x:c>
    </x:row>
    <x:row r="120">
      <x:c r="A120" s="2" t="n">
        <x:v>46267</x:v>
      </x:c>
      <x:c r="B120" t="inlineStr">
        <x:is>
          <x:t xml:space="preserve">Sep-26</x:t>
        </x:is>
      </x:c>
      <x:c r="C120" t="inlineStr">
        <x:is>
          <x:t xml:space="preserve"/>
        </x:is>
      </x:c>
      <x:c r="D120" t="inlineStr">
        <x:is>
          <x:t xml:space="preserve">Rent</x:t>
        </x:is>
      </x:c>
      <x:c r="E120" t="inlineStr">
        <x:is>
          <x:t xml:space="preserve">Fixed</x:t>
        </x:is>
      </x:c>
      <x:c r="F120" t="inlineStr">
        <x:is>
          <x:t xml:space="preserve">Bank Transfer</x:t>
        </x:is>
      </x:c>
      <x:c r="G120" s="3" t="n">
        <x:v>28000</x:v>
      </x:c>
      <x:c r="H120" s="5" t="inlineStr">
        <x:is>
          <x:t xml:space="preserve">Expense</x:t>
        </x:is>
      </x:c>
      <x:c r="I120" s="3" t="n">
        <x:v>-28000</x:v>
      </x:c>
      <x:c r="J120" s="3" t="n">
        <x:v>28000</x:v>
      </x:c>
      <x:c r="K120" s="3" t="n">
        <x:v>0</x:v>
      </x:c>
      <x:c r="L120" t="inlineStr">
        <x:is>
          <x:t xml:space="preserve">House rent payment</x:t>
        </x:is>
      </x:c>
    </x:row>
    <x:row r="121">
      <x:c r="A121" s="2" t="n">
        <x:v>46270</x:v>
      </x:c>
      <x:c r="B121" t="inlineStr">
        <x:is>
          <x:t xml:space="preserve">Sep-26</x:t>
        </x:is>
      </x:c>
      <x:c r="C121" t="inlineStr">
        <x:is>
          <x:t xml:space="preserve"/>
        </x:is>
      </x:c>
      <x:c r="D121" t="inlineStr">
        <x:is>
          <x:t xml:space="preserve">EMI</x:t>
        </x:is>
      </x:c>
      <x:c r="E121" t="inlineStr">
        <x:is>
          <x:t xml:space="preserve">Fixed</x:t>
        </x:is>
      </x:c>
      <x:c r="F121" t="inlineStr">
        <x:is>
          <x:t xml:space="preserve">Bank Transfer</x:t>
        </x:is>
      </x:c>
      <x:c r="G121" s="3" t="n">
        <x:v>9000</x:v>
      </x:c>
      <x:c r="H121" s="5" t="inlineStr">
        <x:is>
          <x:t xml:space="preserve">Expense</x:t>
        </x:is>
      </x:c>
      <x:c r="I121" s="3" t="n">
        <x:v>-9000</x:v>
      </x:c>
      <x:c r="J121" s="3" t="n">
        <x:v>9000</x:v>
      </x:c>
      <x:c r="K121" s="3" t="n">
        <x:v>0</x:v>
      </x:c>
      <x:c r="L121" t="inlineStr">
        <x:is>
          <x:t xml:space="preserve">Personal loan EMI</x:t>
        </x:is>
      </x:c>
    </x:row>
    <x:row r="122">
      <x:c r="A122" s="2" t="n">
        <x:v>46272</x:v>
      </x:c>
      <x:c r="B122" t="inlineStr">
        <x:is>
          <x:t xml:space="preserve">Sep-26</x:t>
        </x:is>
      </x:c>
      <x:c r="C122" t="inlineStr">
        <x:is>
          <x:t xml:space="preserve"/>
        </x:is>
      </x:c>
      <x:c r="D122" t="inlineStr">
        <x:is>
          <x:t xml:space="preserve">Groceries</x:t>
        </x:is>
      </x:c>
      <x:c r="E122" t="inlineStr">
        <x:is>
          <x:t xml:space="preserve">Variable</x:t>
        </x:is>
      </x:c>
      <x:c r="F122" t="inlineStr">
        <x:is>
          <x:t xml:space="preserve">Cash</x:t>
        </x:is>
      </x:c>
      <x:c r="G122" s="3" t="n">
        <x:v>3658</x:v>
      </x:c>
      <x:c r="H122" s="5" t="inlineStr">
        <x:is>
          <x:t xml:space="preserve">Expense</x:t>
        </x:is>
      </x:c>
      <x:c r="I122" s="3" t="n">
        <x:v>-3658</x:v>
      </x:c>
      <x:c r="J122" s="3" t="n">
        <x:v>7493</x:v>
      </x:c>
      <x:c r="K122" s="3" t="n">
        <x:v>3835</x:v>
      </x:c>
      <x:c r="L122" t="inlineStr">
        <x:is>
          <x:t xml:space="preserve">Supermarket groceries</x:t>
        </x:is>
      </x:c>
    </x:row>
    <x:row r="123">
      <x:c r="A123" s="2" t="n">
        <x:v>46273</x:v>
      </x:c>
      <x:c r="B123" t="inlineStr">
        <x:is>
          <x:t xml:space="preserve">Sep-26</x:t>
        </x:is>
      </x:c>
      <x:c r="C123" t="inlineStr">
        <x:is>
          <x:t xml:space="preserve"/>
        </x:is>
      </x:c>
      <x:c r="D123" t="inlineStr">
        <x:is>
          <x:t xml:space="preserve">Utilities</x:t>
        </x:is>
      </x:c>
      <x:c r="E123" t="inlineStr">
        <x:is>
          <x:t xml:space="preserve">Fixed</x:t>
        </x:is>
      </x:c>
      <x:c r="F123" t="inlineStr">
        <x:is>
          <x:t xml:space="preserve">UPI</x:t>
        </x:is>
      </x:c>
      <x:c r="G123" s="3" t="n">
        <x:v>2183</x:v>
      </x:c>
      <x:c r="H123" s="5" t="inlineStr">
        <x:is>
          <x:t xml:space="preserve">Expense</x:t>
        </x:is>
      </x:c>
      <x:c r="I123" s="3" t="n">
        <x:v>-2183</x:v>
      </x:c>
      <x:c r="J123" s="3" t="n">
        <x:v>3901</x:v>
      </x:c>
      <x:c r="K123" s="3" t="n">
        <x:v>1718</x:v>
      </x:c>
      <x:c r="L123" t="inlineStr">
        <x:is>
          <x:t xml:space="preserve">Electricity bill</x:t>
        </x:is>
      </x:c>
    </x:row>
    <x:row r="124">
      <x:c r="A124" s="2" t="n">
        <x:v>46276</x:v>
      </x:c>
      <x:c r="B124" t="inlineStr">
        <x:is>
          <x:t xml:space="preserve">Sep-26</x:t>
        </x:is>
      </x:c>
      <x:c r="C124" t="inlineStr">
        <x:is>
          <x:t xml:space="preserve"/>
        </x:is>
      </x:c>
      <x:c r="D124" t="inlineStr">
        <x:is>
          <x:t xml:space="preserve">Utilities</x:t>
        </x:is>
      </x:c>
      <x:c r="E124" t="inlineStr">
        <x:is>
          <x:t xml:space="preserve">Fixed</x:t>
        </x:is>
      </x:c>
      <x:c r="F124" t="inlineStr">
        <x:is>
          <x:t xml:space="preserve">UPI</x:t>
        </x:is>
      </x:c>
      <x:c r="G124" s="3" t="n">
        <x:v>1452</x:v>
      </x:c>
      <x:c r="H124" s="5" t="inlineStr">
        <x:is>
          <x:t xml:space="preserve">Expense</x:t>
        </x:is>
      </x:c>
      <x:c r="I124" s="3" t="n">
        <x:v>-1452</x:v>
      </x:c>
      <x:c r="J124" s="3" t="n">
        <x:v>3901</x:v>
      </x:c>
      <x:c r="K124" s="3" t="n">
        <x:v>2449</x:v>
      </x:c>
      <x:c r="L124" t="inlineStr">
        <x:is>
          <x:t xml:space="preserve">Internet / mobile bill</x:t>
        </x:is>
      </x:c>
    </x:row>
    <x:row r="125">
      <x:c r="A125" s="2" t="n">
        <x:v>46277</x:v>
      </x:c>
      <x:c r="B125" t="inlineStr">
        <x:is>
          <x:t xml:space="preserve">Sep-26</x:t>
        </x:is>
      </x:c>
      <x:c r="C125" t="inlineStr">
        <x:is>
          <x:t xml:space="preserve"/>
        </x:is>
      </x:c>
      <x:c r="D125" t="inlineStr">
        <x:is>
          <x:t xml:space="preserve">Food</x:t>
        </x:is>
      </x:c>
      <x:c r="E125" t="inlineStr">
        <x:is>
          <x:t xml:space="preserve">Variable</x:t>
        </x:is>
      </x:c>
      <x:c r="F125" t="inlineStr">
        <x:is>
          <x:t xml:space="preserve">Credit Card</x:t>
        </x:is>
      </x:c>
      <x:c r="G125" s="3" t="n">
        <x:v>2270</x:v>
      </x:c>
      <x:c r="H125" s="5" t="inlineStr">
        <x:is>
          <x:t xml:space="preserve">Expense</x:t>
        </x:is>
      </x:c>
      <x:c r="I125" s="3" t="n">
        <x:v>-2270</x:v>
      </x:c>
      <x:c r="J125" s="3" t="n">
        <x:v>6893</x:v>
      </x:c>
      <x:c r="K125" s="3" t="n">
        <x:v>4623</x:v>
      </x:c>
      <x:c r="L125" t="inlineStr">
        <x:is>
          <x:t xml:space="preserve">Dining out / office lunch</x:t>
        </x:is>
      </x:c>
    </x:row>
    <x:row r="126">
      <x:c r="A126" s="2" t="n">
        <x:v>46281</x:v>
      </x:c>
      <x:c r="B126" t="inlineStr">
        <x:is>
          <x:t xml:space="preserve">Sep-26</x:t>
        </x:is>
      </x:c>
      <x:c r="C126" t="inlineStr">
        <x:is>
          <x:t xml:space="preserve">Business</x:t>
        </x:is>
      </x:c>
      <x:c r="D126" t="inlineStr">
        <x:is>
          <x:t xml:space="preserve"/>
        </x:is>
      </x:c>
      <x:c r="E126" t="inlineStr">
        <x:is>
          <x:t xml:space="preserve">N/A</x:t>
        </x:is>
      </x:c>
      <x:c r="F126" t="inlineStr">
        <x:is>
          <x:t xml:space="preserve">Bank Transfer</x:t>
        </x:is>
      </x:c>
      <x:c r="G126" s="3" t="n">
        <x:v>18853</x:v>
      </x:c>
      <x:c r="H126" s="4" t="inlineStr">
        <x:is>
          <x:t xml:space="preserve">Income</x:t>
        </x:is>
      </x:c>
      <x:c r="I126" s="3" t="n">
        <x:v>18853</x:v>
      </x:c>
      <x:c r="J126" s="3" t="n">
        <x:v>0</x:v>
      </x:c>
      <x:c r="K126" s="3" t="n">
        <x:v>0</x:v>
      </x:c>
      <x:c r="L126" t="inlineStr">
        <x:is>
          <x:t xml:space="preserve">Small business side income</x:t>
        </x:is>
      </x:c>
    </x:row>
    <x:row r="127">
      <x:c r="A127" s="2" t="n">
        <x:v>46281</x:v>
      </x:c>
      <x:c r="B127" t="inlineStr">
        <x:is>
          <x:t xml:space="preserve">Sep-26</x:t>
        </x:is>
      </x:c>
      <x:c r="C127" t="inlineStr">
        <x:is>
          <x:t xml:space="preserve"/>
        </x:is>
      </x:c>
      <x:c r="D127" t="inlineStr">
        <x:is>
          <x:t xml:space="preserve">Shopping</x:t>
        </x:is>
      </x:c>
      <x:c r="E127" t="inlineStr">
        <x:is>
          <x:t xml:space="preserve">Variable</x:t>
        </x:is>
      </x:c>
      <x:c r="F127" t="inlineStr">
        <x:is>
          <x:t xml:space="preserve">UPI</x:t>
        </x:is>
      </x:c>
      <x:c r="G127" s="3" t="n">
        <x:v>3455</x:v>
      </x:c>
      <x:c r="H127" s="5" t="inlineStr">
        <x:is>
          <x:t xml:space="preserve">Expense</x:t>
        </x:is>
      </x:c>
      <x:c r="I127" s="3" t="n">
        <x:v>-3455</x:v>
      </x:c>
      <x:c r="J127" s="3" t="n">
        <x:v>4734</x:v>
      </x:c>
      <x:c r="K127" s="3" t="n">
        <x:v>1279</x:v>
      </x:c>
      <x:c r="L127" t="inlineStr">
        <x:is>
          <x:t xml:space="preserve">Apparel / lifestyle purchase</x:t>
        </x:is>
      </x:c>
    </x:row>
    <x:row r="128">
      <x:c r="A128" s="2" t="n">
        <x:v>46283</x:v>
      </x:c>
      <x:c r="B128" t="inlineStr">
        <x:is>
          <x:t xml:space="preserve">Sep-26</x:t>
        </x:is>
      </x:c>
      <x:c r="C128" t="inlineStr">
        <x:is>
          <x:t xml:space="preserve"/>
        </x:is>
      </x:c>
      <x:c r="D128" t="inlineStr">
        <x:is>
          <x:t xml:space="preserve">Entertainment</x:t>
        </x:is>
      </x:c>
      <x:c r="E128" t="inlineStr">
        <x:is>
          <x:t xml:space="preserve">Variable</x:t>
        </x:is>
      </x:c>
      <x:c r="F128" t="inlineStr">
        <x:is>
          <x:t xml:space="preserve">Cash</x:t>
        </x:is>
      </x:c>
      <x:c r="G128" s="3" t="n">
        <x:v>2366</x:v>
      </x:c>
      <x:c r="H128" s="5" t="inlineStr">
        <x:is>
          <x:t xml:space="preserve">Expense</x:t>
        </x:is>
      </x:c>
      <x:c r="I128" s="3" t="n">
        <x:v>-2366</x:v>
      </x:c>
      <x:c r="J128" s="3" t="n">
        <x:v>3177</x:v>
      </x:c>
      <x:c r="K128" s="3" t="n">
        <x:v>811</x:v>
      </x:c>
      <x:c r="L128" t="inlineStr">
        <x:is>
          <x:t xml:space="preserve">Movies / subscriptions</x:t>
        </x:is>
      </x:c>
    </x:row>
    <x:row r="129">
      <x:c r="A129" s="2" t="n">
        <x:v>46283</x:v>
      </x:c>
      <x:c r="B129" t="inlineStr">
        <x:is>
          <x:t xml:space="preserve">Sep-26</x:t>
        </x:is>
      </x:c>
      <x:c r="C129" t="inlineStr">
        <x:is>
          <x:t xml:space="preserve"/>
        </x:is>
      </x:c>
      <x:c r="D129" t="inlineStr">
        <x:is>
          <x:t xml:space="preserve">Healthcare</x:t>
        </x:is>
      </x:c>
      <x:c r="E129" t="inlineStr">
        <x:is>
          <x:t xml:space="preserve">Variable</x:t>
        </x:is>
      </x:c>
      <x:c r="F129" t="inlineStr">
        <x:is>
          <x:t xml:space="preserve">Bank Transfer</x:t>
        </x:is>
      </x:c>
      <x:c r="G129" s="3" t="n">
        <x:v>1736</x:v>
      </x:c>
      <x:c r="H129" s="5" t="inlineStr">
        <x:is>
          <x:t xml:space="preserve">Expense</x:t>
        </x:is>
      </x:c>
      <x:c r="I129" s="3" t="n">
        <x:v>-1736</x:v>
      </x:c>
      <x:c r="J129" s="3" t="n">
        <x:v>2952</x:v>
      </x:c>
      <x:c r="K129" s="3" t="n">
        <x:v>1216</x:v>
      </x:c>
      <x:c r="L129" t="inlineStr">
        <x:is>
          <x:t xml:space="preserve">Medicines / doctor consultation</x:t>
        </x:is>
      </x:c>
    </x:row>
    <x:row r="130">
      <x:c r="A130" s="2" t="n">
        <x:v>46286</x:v>
      </x:c>
      <x:c r="B130" t="inlineStr">
        <x:is>
          <x:t xml:space="preserve">Sep-26</x:t>
        </x:is>
      </x:c>
      <x:c r="C130" t="inlineStr">
        <x:is>
          <x:t xml:space="preserve"/>
        </x:is>
      </x:c>
      <x:c r="D130" t="inlineStr">
        <x:is>
          <x:t xml:space="preserve">Groceries</x:t>
        </x:is>
      </x:c>
      <x:c r="E130" t="inlineStr">
        <x:is>
          <x:t xml:space="preserve">Variable</x:t>
        </x:is>
      </x:c>
      <x:c r="F130" t="inlineStr">
        <x:is>
          <x:t xml:space="preserve">Cash</x:t>
        </x:is>
      </x:c>
      <x:c r="G130" s="3" t="n">
        <x:v>3995</x:v>
      </x:c>
      <x:c r="H130" s="5" t="inlineStr">
        <x:is>
          <x:t xml:space="preserve">Expense</x:t>
        </x:is>
      </x:c>
      <x:c r="I130" s="3" t="n">
        <x:v>-3995</x:v>
      </x:c>
      <x:c r="J130" s="3" t="n">
        <x:v>7493</x:v>
      </x:c>
      <x:c r="K130" s="3" t="n">
        <x:v>3498</x:v>
      </x:c>
      <x:c r="L130" t="inlineStr">
        <x:is>
          <x:t xml:space="preserve">Monthly essentials restock</x:t>
        </x:is>
      </x:c>
    </x:row>
    <x:row r="131">
      <x:c r="A131" s="2" t="n">
        <x:v>46290</x:v>
      </x:c>
      <x:c r="B131" t="inlineStr">
        <x:is>
          <x:t xml:space="preserve">Sep-26</x:t>
        </x:is>
      </x:c>
      <x:c r="C131" t="inlineStr">
        <x:is>
          <x:t xml:space="preserve"/>
        </x:is>
      </x:c>
      <x:c r="D131" t="inlineStr">
        <x:is>
          <x:t xml:space="preserve">Food</x:t>
        </x:is>
      </x:c>
      <x:c r="E131" t="inlineStr">
        <x:is>
          <x:t xml:space="preserve">Variable</x:t>
        </x:is>
      </x:c>
      <x:c r="F131" t="inlineStr">
        <x:is>
          <x:t xml:space="preserve">UPI</x:t>
        </x:is>
      </x:c>
      <x:c r="G131" s="3" t="n">
        <x:v>1734</x:v>
      </x:c>
      <x:c r="H131" s="5" t="inlineStr">
        <x:is>
          <x:t xml:space="preserve">Expense</x:t>
        </x:is>
      </x:c>
      <x:c r="I131" s="3" t="n">
        <x:v>-1734</x:v>
      </x:c>
      <x:c r="J131" s="3" t="n">
        <x:v>6893</x:v>
      </x:c>
      <x:c r="K131" s="3" t="n">
        <x:v>5159</x:v>
      </x:c>
      <x:c r="L131" t="inlineStr">
        <x:is>
          <x:t xml:space="preserve">Weekend food order</x:t>
        </x:is>
      </x:c>
    </x:row>
    <x:row r="132">
      <x:c r="A132" s="2" t="n">
        <x:v>46292</x:v>
      </x:c>
      <x:c r="B132" t="inlineStr">
        <x:is>
          <x:t xml:space="preserve">Sep-26</x:t>
        </x:is>
      </x:c>
      <x:c r="C132" t="inlineStr">
        <x:is>
          <x:t xml:space="preserve">Interest</x:t>
        </x:is>
      </x:c>
      <x:c r="D132" t="inlineStr">
        <x:is>
          <x:t xml:space="preserve"/>
        </x:is>
      </x:c>
      <x:c r="E132" t="inlineStr">
        <x:is>
          <x:t xml:space="preserve">N/A</x:t>
        </x:is>
      </x:c>
      <x:c r="F132" t="inlineStr">
        <x:is>
          <x:t xml:space="preserve">Bank Transfer</x:t>
        </x:is>
      </x:c>
      <x:c r="G132" s="3" t="n">
        <x:v>2045</x:v>
      </x:c>
      <x:c r="H132" s="4" t="inlineStr">
        <x:is>
          <x:t xml:space="preserve">Income</x:t>
        </x:is>
      </x:c>
      <x:c r="I132" s="3" t="n">
        <x:v>2045</x:v>
      </x:c>
      <x:c r="J132" s="3" t="n">
        <x:v>0</x:v>
      </x:c>
      <x:c r="K132" s="3" t="n">
        <x:v>0</x:v>
      </x:c>
      <x:c r="L132" t="inlineStr">
        <x:is>
          <x:t xml:space="preserve">Interest from savings / FD</x:t>
        </x:is>
      </x:c>
    </x:row>
    <x:row r="133">
      <x:c r="A133" s="2" t="n">
        <x:v>46296</x:v>
      </x:c>
      <x:c r="B133" t="inlineStr">
        <x:is>
          <x:t xml:space="preserve">Oct-26</x:t>
        </x:is>
      </x:c>
      <x:c r="C133" t="inlineStr">
        <x:is>
          <x:t xml:space="preserve">Salary</x:t>
        </x:is>
      </x:c>
      <x:c r="D133" t="inlineStr">
        <x:is>
          <x:t xml:space="preserve"/>
        </x:is>
      </x:c>
      <x:c r="E133" t="inlineStr">
        <x:is>
          <x:t xml:space="preserve">N/A</x:t>
        </x:is>
      </x:c>
      <x:c r="F133" t="inlineStr">
        <x:is>
          <x:t xml:space="preserve">Bank Transfer</x:t>
        </x:is>
      </x:c>
      <x:c r="G133" s="3" t="n">
        <x:v>92502</x:v>
      </x:c>
      <x:c r="H133" s="4" t="inlineStr">
        <x:is>
          <x:t xml:space="preserve">Income</x:t>
        </x:is>
      </x:c>
      <x:c r="I133" s="3" t="n">
        <x:v>92502</x:v>
      </x:c>
      <x:c r="J133" s="3" t="n">
        <x:v>0</x:v>
      </x:c>
      <x:c r="K133" s="3" t="n">
        <x:v>0</x:v>
      </x:c>
      <x:c r="L133" t="inlineStr">
        <x:is>
          <x:t xml:space="preserve">Monthly salary credited</x:t>
        </x:is>
      </x:c>
    </x:row>
    <x:row r="134">
      <x:c r="A134" s="2" t="n">
        <x:v>46297</x:v>
      </x:c>
      <x:c r="B134" t="inlineStr">
        <x:is>
          <x:t xml:space="preserve">Oct-26</x:t>
        </x:is>
      </x:c>
      <x:c r="C134" t="inlineStr">
        <x:is>
          <x:t xml:space="preserve"/>
        </x:is>
      </x:c>
      <x:c r="D134" t="inlineStr">
        <x:is>
          <x:t xml:space="preserve">Rent</x:t>
        </x:is>
      </x:c>
      <x:c r="E134" t="inlineStr">
        <x:is>
          <x:t xml:space="preserve">Fixed</x:t>
        </x:is>
      </x:c>
      <x:c r="F134" t="inlineStr">
        <x:is>
          <x:t xml:space="preserve">Bank Transfer</x:t>
        </x:is>
      </x:c>
      <x:c r="G134" s="3" t="n">
        <x:v>28000</x:v>
      </x:c>
      <x:c r="H134" s="5" t="inlineStr">
        <x:is>
          <x:t xml:space="preserve">Expense</x:t>
        </x:is>
      </x:c>
      <x:c r="I134" s="3" t="n">
        <x:v>-28000</x:v>
      </x:c>
      <x:c r="J134" s="3" t="n">
        <x:v>28000</x:v>
      </x:c>
      <x:c r="K134" s="3" t="n">
        <x:v>0</x:v>
      </x:c>
      <x:c r="L134" t="inlineStr">
        <x:is>
          <x:t xml:space="preserve">House rent payment</x:t>
        </x:is>
      </x:c>
    </x:row>
    <x:row r="135">
      <x:c r="A135" s="2" t="n">
        <x:v>46300</x:v>
      </x:c>
      <x:c r="B135" t="inlineStr">
        <x:is>
          <x:t xml:space="preserve">Oct-26</x:t>
        </x:is>
      </x:c>
      <x:c r="C135" t="inlineStr">
        <x:is>
          <x:t xml:space="preserve"/>
        </x:is>
      </x:c>
      <x:c r="D135" t="inlineStr">
        <x:is>
          <x:t xml:space="preserve">EMI</x:t>
        </x:is>
      </x:c>
      <x:c r="E135" t="inlineStr">
        <x:is>
          <x:t xml:space="preserve">Fixed</x:t>
        </x:is>
      </x:c>
      <x:c r="F135" t="inlineStr">
        <x:is>
          <x:t xml:space="preserve">Bank Transfer</x:t>
        </x:is>
      </x:c>
      <x:c r="G135" s="3" t="n">
        <x:v>9000</x:v>
      </x:c>
      <x:c r="H135" s="5" t="inlineStr">
        <x:is>
          <x:t xml:space="preserve">Expense</x:t>
        </x:is>
      </x:c>
      <x:c r="I135" s="3" t="n">
        <x:v>-9000</x:v>
      </x:c>
      <x:c r="J135" s="3" t="n">
        <x:v>9000</x:v>
      </x:c>
      <x:c r="K135" s="3" t="n">
        <x:v>0</x:v>
      </x:c>
      <x:c r="L135" t="inlineStr">
        <x:is>
          <x:t xml:space="preserve">Personal loan EMI</x:t>
        </x:is>
      </x:c>
    </x:row>
    <x:row r="136">
      <x:c r="A136" s="2" t="n">
        <x:v>46302</x:v>
      </x:c>
      <x:c r="B136" t="inlineStr">
        <x:is>
          <x:t xml:space="preserve">Oct-26</x:t>
        </x:is>
      </x:c>
      <x:c r="C136" t="inlineStr">
        <x:is>
          <x:t xml:space="preserve"/>
        </x:is>
      </x:c>
      <x:c r="D136" t="inlineStr">
        <x:is>
          <x:t xml:space="preserve">Groceries</x:t>
        </x:is>
      </x:c>
      <x:c r="E136" t="inlineStr">
        <x:is>
          <x:t xml:space="preserve">Variable</x:t>
        </x:is>
      </x:c>
      <x:c r="F136" t="inlineStr">
        <x:is>
          <x:t xml:space="preserve">Cash</x:t>
        </x:is>
      </x:c>
      <x:c r="G136" s="3" t="n">
        <x:v>3738</x:v>
      </x:c>
      <x:c r="H136" s="5" t="inlineStr">
        <x:is>
          <x:t xml:space="preserve">Expense</x:t>
        </x:is>
      </x:c>
      <x:c r="I136" s="3" t="n">
        <x:v>-3738</x:v>
      </x:c>
      <x:c r="J136" s="3" t="n">
        <x:v>7802</x:v>
      </x:c>
      <x:c r="K136" s="3" t="n">
        <x:v>4064</x:v>
      </x:c>
      <x:c r="L136" t="inlineStr">
        <x:is>
          <x:t xml:space="preserve">Supermarket groceries</x:t>
        </x:is>
      </x:c>
    </x:row>
    <x:row r="137">
      <x:c r="A137" s="2" t="n">
        <x:v>46303</x:v>
      </x:c>
      <x:c r="B137" t="inlineStr">
        <x:is>
          <x:t xml:space="preserve">Oct-26</x:t>
        </x:is>
      </x:c>
      <x:c r="C137" t="inlineStr">
        <x:is>
          <x:t xml:space="preserve"/>
        </x:is>
      </x:c>
      <x:c r="D137" t="inlineStr">
        <x:is>
          <x:t xml:space="preserve">Utilities</x:t>
        </x:is>
      </x:c>
      <x:c r="E137" t="inlineStr">
        <x:is>
          <x:t xml:space="preserve">Fixed</x:t>
        </x:is>
      </x:c>
      <x:c r="F137" t="inlineStr">
        <x:is>
          <x:t xml:space="preserve">UPI</x:t>
        </x:is>
      </x:c>
      <x:c r="G137" s="3" t="n">
        <x:v>1923</x:v>
      </x:c>
      <x:c r="H137" s="5" t="inlineStr">
        <x:is>
          <x:t xml:space="preserve">Expense</x:t>
        </x:is>
      </x:c>
      <x:c r="I137" s="3" t="n">
        <x:v>-1923</x:v>
      </x:c>
      <x:c r="J137" s="3" t="n">
        <x:v>3514</x:v>
      </x:c>
      <x:c r="K137" s="3" t="n">
        <x:v>1591</x:v>
      </x:c>
      <x:c r="L137" t="inlineStr">
        <x:is>
          <x:t xml:space="preserve">Electricity bill</x:t>
        </x:is>
      </x:c>
    </x:row>
    <x:row r="138">
      <x:c r="A138" s="2" t="n">
        <x:v>46304</x:v>
      </x:c>
      <x:c r="B138" t="inlineStr">
        <x:is>
          <x:t xml:space="preserve">Oct-26</x:t>
        </x:is>
      </x:c>
      <x:c r="C138" t="inlineStr">
        <x:is>
          <x:t xml:space="preserve"/>
        </x:is>
      </x:c>
      <x:c r="D138" t="inlineStr">
        <x:is>
          <x:t xml:space="preserve">Insurance</x:t>
        </x:is>
      </x:c>
      <x:c r="E138" t="inlineStr">
        <x:is>
          <x:t xml:space="preserve">Fixed</x:t>
        </x:is>
      </x:c>
      <x:c r="F138" t="inlineStr">
        <x:is>
          <x:t xml:space="preserve">Bank Transfer</x:t>
        </x:is>
      </x:c>
      <x:c r="G138" s="3" t="n">
        <x:v>3500</x:v>
      </x:c>
      <x:c r="H138" s="5" t="inlineStr">
        <x:is>
          <x:t xml:space="preserve">Expense</x:t>
        </x:is>
      </x:c>
      <x:c r="I138" s="3" t="n">
        <x:v>-3500</x:v>
      </x:c>
      <x:c r="J138" s="3" t="n">
        <x:v>3500</x:v>
      </x:c>
      <x:c r="K138" s="3" t="n">
        <x:v>0</x:v>
      </x:c>
      <x:c r="L138" t="inlineStr">
        <x:is>
          <x:t xml:space="preserve">Health insurance premium</x:t>
        </x:is>
      </x:c>
    </x:row>
    <x:row r="139">
      <x:c r="A139" s="2" t="n">
        <x:v>46306</x:v>
      </x:c>
      <x:c r="B139" t="inlineStr">
        <x:is>
          <x:t xml:space="preserve">Oct-26</x:t>
        </x:is>
      </x:c>
      <x:c r="C139" t="inlineStr">
        <x:is>
          <x:t xml:space="preserve"/>
        </x:is>
      </x:c>
      <x:c r="D139" t="inlineStr">
        <x:is>
          <x:t xml:space="preserve">Utilities</x:t>
        </x:is>
      </x:c>
      <x:c r="E139" t="inlineStr">
        <x:is>
          <x:t xml:space="preserve">Fixed</x:t>
        </x:is>
      </x:c>
      <x:c r="F139" t="inlineStr">
        <x:is>
          <x:t xml:space="preserve">UPI</x:t>
        </x:is>
      </x:c>
      <x:c r="G139" s="3" t="n">
        <x:v>1969</x:v>
      </x:c>
      <x:c r="H139" s="5" t="inlineStr">
        <x:is>
          <x:t xml:space="preserve">Expense</x:t>
        </x:is>
      </x:c>
      <x:c r="I139" s="3" t="n">
        <x:v>-1969</x:v>
      </x:c>
      <x:c r="J139" s="3" t="n">
        <x:v>3514</x:v>
      </x:c>
      <x:c r="K139" s="3" t="n">
        <x:v>1545</x:v>
      </x:c>
      <x:c r="L139" t="inlineStr">
        <x:is>
          <x:t xml:space="preserve">Internet / mobile bill</x:t>
        </x:is>
      </x:c>
    </x:row>
    <x:row r="140">
      <x:c r="A140" s="2" t="n">
        <x:v>46307</x:v>
      </x:c>
      <x:c r="B140" t="inlineStr">
        <x:is>
          <x:t xml:space="preserve">Oct-26</x:t>
        </x:is>
      </x:c>
      <x:c r="C140" t="inlineStr">
        <x:is>
          <x:t xml:space="preserve"/>
        </x:is>
      </x:c>
      <x:c r="D140" t="inlineStr">
        <x:is>
          <x:t xml:space="preserve">Food</x:t>
        </x:is>
      </x:c>
      <x:c r="E140" t="inlineStr">
        <x:is>
          <x:t xml:space="preserve">Variable</x:t>
        </x:is>
      </x:c>
      <x:c r="F140" t="inlineStr">
        <x:is>
          <x:t xml:space="preserve">Cash</x:t>
        </x:is>
      </x:c>
      <x:c r="G140" s="3" t="n">
        <x:v>1350</x:v>
      </x:c>
      <x:c r="H140" s="5" t="inlineStr">
        <x:is>
          <x:t xml:space="preserve">Expense</x:t>
        </x:is>
      </x:c>
      <x:c r="I140" s="3" t="n">
        <x:v>-1350</x:v>
      </x:c>
      <x:c r="J140" s="3" t="n">
        <x:v>6064</x:v>
      </x:c>
      <x:c r="K140" s="3" t="n">
        <x:v>4714</x:v>
      </x:c>
      <x:c r="L140" t="inlineStr">
        <x:is>
          <x:t xml:space="preserve">Dining out / office lunch</x:t>
        </x:is>
      </x:c>
    </x:row>
    <x:row r="141">
      <x:c r="A141" s="2" t="n">
        <x:v>46311</x:v>
      </x:c>
      <x:c r="B141" t="inlineStr">
        <x:is>
          <x:t xml:space="preserve">Oct-26</x:t>
        </x:is>
      </x:c>
      <x:c r="C141" t="inlineStr">
        <x:is>
          <x:t xml:space="preserve"/>
        </x:is>
      </x:c>
      <x:c r="D141" t="inlineStr">
        <x:is>
          <x:t xml:space="preserve">Shopping</x:t>
        </x:is>
      </x:c>
      <x:c r="E141" t="inlineStr">
        <x:is>
          <x:t xml:space="preserve">Variable</x:t>
        </x:is>
      </x:c>
      <x:c r="F141" t="inlineStr">
        <x:is>
          <x:t xml:space="preserve">UPI</x:t>
        </x:is>
      </x:c>
      <x:c r="G141" s="3" t="n">
        <x:v>2063</x:v>
      </x:c>
      <x:c r="H141" s="5" t="inlineStr">
        <x:is>
          <x:t xml:space="preserve">Expense</x:t>
        </x:is>
      </x:c>
      <x:c r="I141" s="3" t="n">
        <x:v>-2063</x:v>
      </x:c>
      <x:c r="J141" s="3" t="n">
        <x:v>4869</x:v>
      </x:c>
      <x:c r="K141" s="3" t="n">
        <x:v>2806</x:v>
      </x:c>
      <x:c r="L141" t="inlineStr">
        <x:is>
          <x:t xml:space="preserve">Apparel / lifestyle purchase</x:t>
        </x:is>
      </x:c>
    </x:row>
    <x:row r="142">
      <x:c r="A142" s="2" t="n">
        <x:v>46312</x:v>
      </x:c>
      <x:c r="B142" t="inlineStr">
        <x:is>
          <x:t xml:space="preserve">Oct-26</x:t>
        </x:is>
      </x:c>
      <x:c r="C142" t="inlineStr">
        <x:is>
          <x:t xml:space="preserve">Freelance</x:t>
        </x:is>
      </x:c>
      <x:c r="D142" t="inlineStr">
        <x:is>
          <x:t xml:space="preserve"/>
        </x:is>
      </x:c>
      <x:c r="E142" t="inlineStr">
        <x:is>
          <x:t xml:space="preserve">N/A</x:t>
        </x:is>
      </x:c>
      <x:c r="F142" t="inlineStr">
        <x:is>
          <x:t xml:space="preserve">UPI</x:t>
        </x:is>
      </x:c>
      <x:c r="G142" s="3" t="n">
        <x:v>22575</x:v>
      </x:c>
      <x:c r="H142" s="4" t="inlineStr">
        <x:is>
          <x:t xml:space="preserve">Income</x:t>
        </x:is>
      </x:c>
      <x:c r="I142" s="3" t="n">
        <x:v>22575</x:v>
      </x:c>
      <x:c r="J142" s="3" t="n">
        <x:v>0</x:v>
      </x:c>
      <x:c r="K142" s="3" t="n">
        <x:v>0</x:v>
      </x:c>
      <x:c r="L142" t="inlineStr">
        <x:is>
          <x:t xml:space="preserve">Freelance project payment</x:t>
        </x:is>
      </x:c>
    </x:row>
    <x:row r="143">
      <x:c r="A143" s="2" t="n">
        <x:v>46313</x:v>
      </x:c>
      <x:c r="B143" t="inlineStr">
        <x:is>
          <x:t xml:space="preserve">Oct-26</x:t>
        </x:is>
      </x:c>
      <x:c r="C143" t="inlineStr">
        <x:is>
          <x:t xml:space="preserve"/>
        </x:is>
      </x:c>
      <x:c r="D143" t="inlineStr">
        <x:is>
          <x:t xml:space="preserve">Entertainment</x:t>
        </x:is>
      </x:c>
      <x:c r="E143" t="inlineStr">
        <x:is>
          <x:t xml:space="preserve">Variable</x:t>
        </x:is>
      </x:c>
      <x:c r="F143" t="inlineStr">
        <x:is>
          <x:t xml:space="preserve">Credit Card</x:t>
        </x:is>
      </x:c>
      <x:c r="G143" s="3" t="n">
        <x:v>1171</x:v>
      </x:c>
      <x:c r="H143" s="5" t="inlineStr">
        <x:is>
          <x:t xml:space="preserve">Expense</x:t>
        </x:is>
      </x:c>
      <x:c r="I143" s="3" t="n">
        <x:v>-1171</x:v>
      </x:c>
      <x:c r="J143" s="3" t="n">
        <x:v>3046</x:v>
      </x:c>
      <x:c r="K143" s="3" t="n">
        <x:v>1875</x:v>
      </x:c>
      <x:c r="L143" t="inlineStr">
        <x:is>
          <x:t xml:space="preserve">Movies / subscriptions</x:t>
        </x:is>
      </x:c>
    </x:row>
    <x:row r="144">
      <x:c r="A144" s="2" t="n">
        <x:v>46316</x:v>
      </x:c>
      <x:c r="B144" t="inlineStr">
        <x:is>
          <x:t xml:space="preserve">Oct-26</x:t>
        </x:is>
      </x:c>
      <x:c r="C144" t="inlineStr">
        <x:is>
          <x:t xml:space="preserve"/>
        </x:is>
      </x:c>
      <x:c r="D144" t="inlineStr">
        <x:is>
          <x:t xml:space="preserve">Groceries</x:t>
        </x:is>
      </x:c>
      <x:c r="E144" t="inlineStr">
        <x:is>
          <x:t xml:space="preserve">Variable</x:t>
        </x:is>
      </x:c>
      <x:c r="F144" t="inlineStr">
        <x:is>
          <x:t xml:space="preserve">UPI</x:t>
        </x:is>
      </x:c>
      <x:c r="G144" s="3" t="n">
        <x:v>3953</x:v>
      </x:c>
      <x:c r="H144" s="5" t="inlineStr">
        <x:is>
          <x:t xml:space="preserve">Expense</x:t>
        </x:is>
      </x:c>
      <x:c r="I144" s="3" t="n">
        <x:v>-3953</x:v>
      </x:c>
      <x:c r="J144" s="3" t="n">
        <x:v>7802</x:v>
      </x:c>
      <x:c r="K144" s="3" t="n">
        <x:v>3849</x:v>
      </x:c>
      <x:c r="L144" t="inlineStr">
        <x:is>
          <x:t xml:space="preserve">Monthly essentials restock</x:t>
        </x:is>
      </x:c>
    </x:row>
    <x:row r="145">
      <x:c r="A145" s="2" t="n">
        <x:v>46317</x:v>
      </x:c>
      <x:c r="B145" t="inlineStr">
        <x:is>
          <x:t xml:space="preserve">Oct-26</x:t>
        </x:is>
      </x:c>
      <x:c r="C145" t="inlineStr">
        <x:is>
          <x:t xml:space="preserve"/>
        </x:is>
      </x:c>
      <x:c r="D145" t="inlineStr">
        <x:is>
          <x:t xml:space="preserve">Travel</x:t>
        </x:is>
      </x:c>
      <x:c r="E145" t="inlineStr">
        <x:is>
          <x:t xml:space="preserve">Variable</x:t>
        </x:is>
      </x:c>
      <x:c r="F145" t="inlineStr">
        <x:is>
          <x:t xml:space="preserve">Credit Card</x:t>
        </x:is>
      </x:c>
      <x:c r="G145" s="3" t="n">
        <x:v>5389</x:v>
      </x:c>
      <x:c r="H145" s="5" t="inlineStr">
        <x:is>
          <x:t xml:space="preserve">Expense</x:t>
        </x:is>
      </x:c>
      <x:c r="I145" s="3" t="n">
        <x:v>-5389</x:v>
      </x:c>
      <x:c r="J145" s="3" t="n">
        <x:v>3965</x:v>
      </x:c>
      <x:c r="K145" s="3" t="n">
        <x:v>-1424</x:v>
      </x:c>
      <x:c r="L145" t="inlineStr">
        <x:is>
          <x:t xml:space="preserve">Cab / fuel / local travel</x:t>
        </x:is>
      </x:c>
    </x:row>
    <x:row r="146">
      <x:c r="A146" s="2" t="n">
        <x:v>46318</x:v>
      </x:c>
      <x:c r="B146" t="inlineStr">
        <x:is>
          <x:t xml:space="preserve">Oct-26</x:t>
        </x:is>
      </x:c>
      <x:c r="C146" t="inlineStr">
        <x:is>
          <x:t xml:space="preserve"/>
        </x:is>
      </x:c>
      <x:c r="D146" t="inlineStr">
        <x:is>
          <x:t xml:space="preserve">Shopping</x:t>
        </x:is>
      </x:c>
      <x:c r="E146" t="inlineStr">
        <x:is>
          <x:t xml:space="preserve">Variable</x:t>
        </x:is>
      </x:c>
      <x:c r="F146" t="inlineStr">
        <x:is>
          <x:t xml:space="preserve">Credit Card</x:t>
        </x:is>
      </x:c>
      <x:c r="G146" s="3" t="n">
        <x:v>5227</x:v>
      </x:c>
      <x:c r="H146" s="5" t="inlineStr">
        <x:is>
          <x:t xml:space="preserve">Expense</x:t>
        </x:is>
      </x:c>
      <x:c r="I146" s="3" t="n">
        <x:v>-5227</x:v>
      </x:c>
      <x:c r="J146" s="3" t="n">
        <x:v>4869</x:v>
      </x:c>
      <x:c r="K146" s="3" t="n">
        <x:v>-358</x:v>
      </x:c>
      <x:c r="L146" t="inlineStr">
        <x:is>
          <x:t xml:space="preserve">Seasonal / festive shopping</x:t>
        </x:is>
      </x:c>
    </x:row>
    <x:row r="147">
      <x:c r="A147" s="2" t="n">
        <x:v>46320</x:v>
      </x:c>
      <x:c r="B147" t="inlineStr">
        <x:is>
          <x:t xml:space="preserve">Oct-26</x:t>
        </x:is>
      </x:c>
      <x:c r="C147" t="inlineStr">
        <x:is>
          <x:t xml:space="preserve"/>
        </x:is>
      </x:c>
      <x:c r="D147" t="inlineStr">
        <x:is>
          <x:t xml:space="preserve">Food</x:t>
        </x:is>
      </x:c>
      <x:c r="E147" t="inlineStr">
        <x:is>
          <x:t xml:space="preserve">Variable</x:t>
        </x:is>
      </x:c>
      <x:c r="F147" t="inlineStr">
        <x:is>
          <x:t xml:space="preserve">Cash</x:t>
        </x:is>
      </x:c>
      <x:c r="G147" s="3" t="n">
        <x:v>1636</x:v>
      </x:c>
      <x:c r="H147" s="5" t="inlineStr">
        <x:is>
          <x:t xml:space="preserve">Expense</x:t>
        </x:is>
      </x:c>
      <x:c r="I147" s="3" t="n">
        <x:v>-1636</x:v>
      </x:c>
      <x:c r="J147" s="3" t="n">
        <x:v>6064</x:v>
      </x:c>
      <x:c r="K147" s="3" t="n">
        <x:v>4428</x:v>
      </x:c>
      <x:c r="L147" t="inlineStr">
        <x:is>
          <x:t xml:space="preserve">Weekend food order</x:t>
        </x:is>
      </x:c>
    </x:row>
    <x:row r="148">
      <x:c r="A148" s="2" t="n">
        <x:v>46322</x:v>
      </x:c>
      <x:c r="B148" t="inlineStr">
        <x:is>
          <x:t xml:space="preserve">Oct-26</x:t>
        </x:is>
      </x:c>
      <x:c r="C148" t="inlineStr">
        <x:is>
          <x:t xml:space="preserve"/>
        </x:is>
      </x:c>
      <x:c r="D148" t="inlineStr">
        <x:is>
          <x:t xml:space="preserve">Healthcare</x:t>
        </x:is>
      </x:c>
      <x:c r="E148" t="inlineStr">
        <x:is>
          <x:t xml:space="preserve">Variable</x:t>
        </x:is>
      </x:c>
      <x:c r="F148" t="inlineStr">
        <x:is>
          <x:t xml:space="preserve">Cash</x:t>
        </x:is>
      </x:c>
      <x:c r="G148" s="3" t="n">
        <x:v>1852</x:v>
      </x:c>
      <x:c r="H148" s="5" t="inlineStr">
        <x:is>
          <x:t xml:space="preserve">Expense</x:t>
        </x:is>
      </x:c>
      <x:c r="I148" s="3" t="n">
        <x:v>-1852</x:v>
      </x:c>
      <x:c r="J148" s="3" t="n">
        <x:v>3221</x:v>
      </x:c>
      <x:c r="K148" s="3" t="n">
        <x:v>1369</x:v>
      </x:c>
      <x:c r="L148" t="inlineStr">
        <x:is>
          <x:t xml:space="preserve">Health and wellness spend</x:t>
        </x:is>
      </x:c>
    </x:row>
    <x:row r="149">
      <x:c r="A149" s="2" t="n">
        <x:v>46327</x:v>
      </x:c>
      <x:c r="B149" t="inlineStr">
        <x:is>
          <x:t xml:space="preserve">Nov-26</x:t>
        </x:is>
      </x:c>
      <x:c r="C149" t="inlineStr">
        <x:is>
          <x:t xml:space="preserve">Salary</x:t>
        </x:is>
      </x:c>
      <x:c r="D149" t="inlineStr">
        <x:is>
          <x:t xml:space="preserve"/>
        </x:is>
      </x:c>
      <x:c r="E149" t="inlineStr">
        <x:is>
          <x:t xml:space="preserve">N/A</x:t>
        </x:is>
      </x:c>
      <x:c r="F149" t="inlineStr">
        <x:is>
          <x:t xml:space="preserve">Bank Transfer</x:t>
        </x:is>
      </x:c>
      <x:c r="G149" s="3" t="n">
        <x:v>93611</x:v>
      </x:c>
      <x:c r="H149" s="4" t="inlineStr">
        <x:is>
          <x:t xml:space="preserve">Income</x:t>
        </x:is>
      </x:c>
      <x:c r="I149" s="3" t="n">
        <x:v>93611</x:v>
      </x:c>
      <x:c r="J149" s="3" t="n">
        <x:v>0</x:v>
      </x:c>
      <x:c r="K149" s="3" t="n">
        <x:v>0</x:v>
      </x:c>
      <x:c r="L149" t="inlineStr">
        <x:is>
          <x:t xml:space="preserve">Monthly salary credited</x:t>
        </x:is>
      </x:c>
    </x:row>
    <x:row r="150">
      <x:c r="A150" s="2" t="n">
        <x:v>46328</x:v>
      </x:c>
      <x:c r="B150" t="inlineStr">
        <x:is>
          <x:t xml:space="preserve">Nov-26</x:t>
        </x:is>
      </x:c>
      <x:c r="C150" t="inlineStr">
        <x:is>
          <x:t xml:space="preserve"/>
        </x:is>
      </x:c>
      <x:c r="D150" t="inlineStr">
        <x:is>
          <x:t xml:space="preserve">Rent</x:t>
        </x:is>
      </x:c>
      <x:c r="E150" t="inlineStr">
        <x:is>
          <x:t xml:space="preserve">Fixed</x:t>
        </x:is>
      </x:c>
      <x:c r="F150" t="inlineStr">
        <x:is>
          <x:t xml:space="preserve">Bank Transfer</x:t>
        </x:is>
      </x:c>
      <x:c r="G150" s="3" t="n">
        <x:v>28000</x:v>
      </x:c>
      <x:c r="H150" s="5" t="inlineStr">
        <x:is>
          <x:t xml:space="preserve">Expense</x:t>
        </x:is>
      </x:c>
      <x:c r="I150" s="3" t="n">
        <x:v>-28000</x:v>
      </x:c>
      <x:c r="J150" s="3" t="n">
        <x:v>28000</x:v>
      </x:c>
      <x:c r="K150" s="3" t="n">
        <x:v>0</x:v>
      </x:c>
      <x:c r="L150" t="inlineStr">
        <x:is>
          <x:t xml:space="preserve">House rent payment</x:t>
        </x:is>
      </x:c>
    </x:row>
    <x:row r="151">
      <x:c r="A151" s="2" t="n">
        <x:v>46331</x:v>
      </x:c>
      <x:c r="B151" t="inlineStr">
        <x:is>
          <x:t xml:space="preserve">Nov-26</x:t>
        </x:is>
      </x:c>
      <x:c r="C151" t="inlineStr">
        <x:is>
          <x:t xml:space="preserve"/>
        </x:is>
      </x:c>
      <x:c r="D151" t="inlineStr">
        <x:is>
          <x:t xml:space="preserve">EMI</x:t>
        </x:is>
      </x:c>
      <x:c r="E151" t="inlineStr">
        <x:is>
          <x:t xml:space="preserve">Fixed</x:t>
        </x:is>
      </x:c>
      <x:c r="F151" t="inlineStr">
        <x:is>
          <x:t xml:space="preserve">Bank Transfer</x:t>
        </x:is>
      </x:c>
      <x:c r="G151" s="3" t="n">
        <x:v>9000</x:v>
      </x:c>
      <x:c r="H151" s="5" t="inlineStr">
        <x:is>
          <x:t xml:space="preserve">Expense</x:t>
        </x:is>
      </x:c>
      <x:c r="I151" s="3" t="n">
        <x:v>-9000</x:v>
      </x:c>
      <x:c r="J151" s="3" t="n">
        <x:v>9000</x:v>
      </x:c>
      <x:c r="K151" s="3" t="n">
        <x:v>0</x:v>
      </x:c>
      <x:c r="L151" t="inlineStr">
        <x:is>
          <x:t xml:space="preserve">Personal loan EMI</x:t>
        </x:is>
      </x:c>
    </x:row>
    <x:row r="152">
      <x:c r="A152" s="2" t="n">
        <x:v>46333</x:v>
      </x:c>
      <x:c r="B152" t="inlineStr">
        <x:is>
          <x:t xml:space="preserve">Nov-26</x:t>
        </x:is>
      </x:c>
      <x:c r="C152" t="inlineStr">
        <x:is>
          <x:t xml:space="preserve"/>
        </x:is>
      </x:c>
      <x:c r="D152" t="inlineStr">
        <x:is>
          <x:t xml:space="preserve">Groceries</x:t>
        </x:is>
      </x:c>
      <x:c r="E152" t="inlineStr">
        <x:is>
          <x:t xml:space="preserve">Variable</x:t>
        </x:is>
      </x:c>
      <x:c r="F152" t="inlineStr">
        <x:is>
          <x:t xml:space="preserve">UPI</x:t>
        </x:is>
      </x:c>
      <x:c r="G152" s="3" t="n">
        <x:v>4158</x:v>
      </x:c>
      <x:c r="H152" s="5" t="inlineStr">
        <x:is>
          <x:t xml:space="preserve">Expense</x:t>
        </x:is>
      </x:c>
      <x:c r="I152" s="3" t="n">
        <x:v>-4158</x:v>
      </x:c>
      <x:c r="J152" s="3" t="n">
        <x:v>7870</x:v>
      </x:c>
      <x:c r="K152" s="3" t="n">
        <x:v>3712</x:v>
      </x:c>
      <x:c r="L152" t="inlineStr">
        <x:is>
          <x:t xml:space="preserve">Supermarket groceries</x:t>
        </x:is>
      </x:c>
    </x:row>
    <x:row r="153">
      <x:c r="A153" s="2" t="n">
        <x:v>46334</x:v>
      </x:c>
      <x:c r="B153" t="inlineStr">
        <x:is>
          <x:t xml:space="preserve">Nov-26</x:t>
        </x:is>
      </x:c>
      <x:c r="C153" t="inlineStr">
        <x:is>
          <x:t xml:space="preserve"/>
        </x:is>
      </x:c>
      <x:c r="D153" t="inlineStr">
        <x:is>
          <x:t xml:space="preserve">Utilities</x:t>
        </x:is>
      </x:c>
      <x:c r="E153" t="inlineStr">
        <x:is>
          <x:t xml:space="preserve">Fixed</x:t>
        </x:is>
      </x:c>
      <x:c r="F153" t="inlineStr">
        <x:is>
          <x:t xml:space="preserve">UPI</x:t>
        </x:is>
      </x:c>
      <x:c r="G153" s="3" t="n">
        <x:v>2269</x:v>
      </x:c>
      <x:c r="H153" s="5" t="inlineStr">
        <x:is>
          <x:t xml:space="preserve">Expense</x:t>
        </x:is>
      </x:c>
      <x:c r="I153" s="3" t="n">
        <x:v>-2269</x:v>
      </x:c>
      <x:c r="J153" s="3" t="n">
        <x:v>3835</x:v>
      </x:c>
      <x:c r="K153" s="3" t="n">
        <x:v>1566</x:v>
      </x:c>
      <x:c r="L153" t="inlineStr">
        <x:is>
          <x:t xml:space="preserve">Electricity bill</x:t>
        </x:is>
      </x:c>
    </x:row>
    <x:row r="154">
      <x:c r="A154" s="2" t="n">
        <x:v>46337</x:v>
      </x:c>
      <x:c r="B154" t="inlineStr">
        <x:is>
          <x:t xml:space="preserve">Nov-26</x:t>
        </x:is>
      </x:c>
      <x:c r="C154" t="inlineStr">
        <x:is>
          <x:t xml:space="preserve"/>
        </x:is>
      </x:c>
      <x:c r="D154" t="inlineStr">
        <x:is>
          <x:t xml:space="preserve">Utilities</x:t>
        </x:is>
      </x:c>
      <x:c r="E154" t="inlineStr">
        <x:is>
          <x:t xml:space="preserve">Fixed</x:t>
        </x:is>
      </x:c>
      <x:c r="F154" t="inlineStr">
        <x:is>
          <x:t xml:space="preserve">Credit Card</x:t>
        </x:is>
      </x:c>
      <x:c r="G154" s="3" t="n">
        <x:v>1741</x:v>
      </x:c>
      <x:c r="H154" s="5" t="inlineStr">
        <x:is>
          <x:t xml:space="preserve">Expense</x:t>
        </x:is>
      </x:c>
      <x:c r="I154" s="3" t="n">
        <x:v>-1741</x:v>
      </x:c>
      <x:c r="J154" s="3" t="n">
        <x:v>3835</x:v>
      </x:c>
      <x:c r="K154" s="3" t="n">
        <x:v>2094</x:v>
      </x:c>
      <x:c r="L154" t="inlineStr">
        <x:is>
          <x:t xml:space="preserve">Internet / mobile bill</x:t>
        </x:is>
      </x:c>
    </x:row>
    <x:row r="155">
      <x:c r="A155" s="2" t="n">
        <x:v>46338</x:v>
      </x:c>
      <x:c r="B155" t="inlineStr">
        <x:is>
          <x:t xml:space="preserve">Nov-26</x:t>
        </x:is>
      </x:c>
      <x:c r="C155" t="inlineStr">
        <x:is>
          <x:t xml:space="preserve"/>
        </x:is>
      </x:c>
      <x:c r="D155" t="inlineStr">
        <x:is>
          <x:t xml:space="preserve">Food</x:t>
        </x:is>
      </x:c>
      <x:c r="E155" t="inlineStr">
        <x:is>
          <x:t xml:space="preserve">Variable</x:t>
        </x:is>
      </x:c>
      <x:c r="F155" t="inlineStr">
        <x:is>
          <x:t xml:space="preserve">UPI</x:t>
        </x:is>
      </x:c>
      <x:c r="G155" s="3" t="n">
        <x:v>1436</x:v>
      </x:c>
      <x:c r="H155" s="5" t="inlineStr">
        <x:is>
          <x:t xml:space="preserve">Expense</x:t>
        </x:is>
      </x:c>
      <x:c r="I155" s="3" t="n">
        <x:v>-1436</x:v>
      </x:c>
      <x:c r="J155" s="3" t="n">
        <x:v>6044</x:v>
      </x:c>
      <x:c r="K155" s="3" t="n">
        <x:v>4608</x:v>
      </x:c>
      <x:c r="L155" t="inlineStr">
        <x:is>
          <x:t xml:space="preserve">Dining out / office lunch</x:t>
        </x:is>
      </x:c>
    </x:row>
    <x:row r="156">
      <x:c r="A156" s="2" t="n">
        <x:v>46342</x:v>
      </x:c>
      <x:c r="B156" t="inlineStr">
        <x:is>
          <x:t xml:space="preserve">Nov-26</x:t>
        </x:is>
      </x:c>
      <x:c r="C156" t="inlineStr">
        <x:is>
          <x:t xml:space="preserve"/>
        </x:is>
      </x:c>
      <x:c r="D156" t="inlineStr">
        <x:is>
          <x:t xml:space="preserve">Shopping</x:t>
        </x:is>
      </x:c>
      <x:c r="E156" t="inlineStr">
        <x:is>
          <x:t xml:space="preserve">Variable</x:t>
        </x:is>
      </x:c>
      <x:c r="F156" t="inlineStr">
        <x:is>
          <x:t xml:space="preserve">UPI</x:t>
        </x:is>
      </x:c>
      <x:c r="G156" s="3" t="n">
        <x:v>6454</x:v>
      </x:c>
      <x:c r="H156" s="5" t="inlineStr">
        <x:is>
          <x:t xml:space="preserve">Expense</x:t>
        </x:is>
      </x:c>
      <x:c r="I156" s="3" t="n">
        <x:v>-6454</x:v>
      </x:c>
      <x:c r="J156" s="3" t="n">
        <x:v>5742</x:v>
      </x:c>
      <x:c r="K156" s="3" t="n">
        <x:v>-712</x:v>
      </x:c>
      <x:c r="L156" t="inlineStr">
        <x:is>
          <x:t xml:space="preserve">Apparel / lifestyle purchase</x:t>
        </x:is>
      </x:c>
    </x:row>
    <x:row r="157">
      <x:c r="A157" s="2" t="n">
        <x:v>46343</x:v>
      </x:c>
      <x:c r="B157" t="inlineStr">
        <x:is>
          <x:t xml:space="preserve">Nov-26</x:t>
        </x:is>
      </x:c>
      <x:c r="C157" t="inlineStr">
        <x:is>
          <x:t xml:space="preserve"/>
        </x:is>
      </x:c>
      <x:c r="D157" t="inlineStr">
        <x:is>
          <x:t xml:space="preserve">Healthcare</x:t>
        </x:is>
      </x:c>
      <x:c r="E157" t="inlineStr">
        <x:is>
          <x:t xml:space="preserve">Variable</x:t>
        </x:is>
      </x:c>
      <x:c r="F157" t="inlineStr">
        <x:is>
          <x:t xml:space="preserve">Cash</x:t>
        </x:is>
      </x:c>
      <x:c r="G157" s="3" t="n">
        <x:v>3270</x:v>
      </x:c>
      <x:c r="H157" s="5" t="inlineStr">
        <x:is>
          <x:t xml:space="preserve">Expense</x:t>
        </x:is>
      </x:c>
      <x:c r="I157" s="3" t="n">
        <x:v>-3270</x:v>
      </x:c>
      <x:c r="J157" s="3" t="n">
        <x:v>3716</x:v>
      </x:c>
      <x:c r="K157" s="3" t="n">
        <x:v>446</x:v>
      </x:c>
      <x:c r="L157" t="inlineStr">
        <x:is>
          <x:t xml:space="preserve">Medicines / doctor consultation</x:t>
        </x:is>
      </x:c>
    </x:row>
    <x:row r="158">
      <x:c r="A158" s="2" t="n">
        <x:v>46344</x:v>
      </x:c>
      <x:c r="B158" t="inlineStr">
        <x:is>
          <x:t xml:space="preserve">Nov-26</x:t>
        </x:is>
      </x:c>
      <x:c r="C158" t="inlineStr">
        <x:is>
          <x:t xml:space="preserve"/>
        </x:is>
      </x:c>
      <x:c r="D158" t="inlineStr">
        <x:is>
          <x:t xml:space="preserve">Entertainment</x:t>
        </x:is>
      </x:c>
      <x:c r="E158" t="inlineStr">
        <x:is>
          <x:t xml:space="preserve">Variable</x:t>
        </x:is>
      </x:c>
      <x:c r="F158" t="inlineStr">
        <x:is>
          <x:t xml:space="preserve">UPI</x:t>
        </x:is>
      </x:c>
      <x:c r="G158" s="3" t="n">
        <x:v>1457</x:v>
      </x:c>
      <x:c r="H158" s="5" t="inlineStr">
        <x:is>
          <x:t xml:space="preserve">Expense</x:t>
        </x:is>
      </x:c>
      <x:c r="I158" s="3" t="n">
        <x:v>-1457</x:v>
      </x:c>
      <x:c r="J158" s="3" t="n">
        <x:v>3210</x:v>
      </x:c>
      <x:c r="K158" s="3" t="n">
        <x:v>1753</x:v>
      </x:c>
      <x:c r="L158" t="inlineStr">
        <x:is>
          <x:t xml:space="preserve">Movies / subscriptions</x:t>
        </x:is>
      </x:c>
    </x:row>
    <x:row r="159">
      <x:c r="A159" s="2" t="n">
        <x:v>46347</x:v>
      </x:c>
      <x:c r="B159" t="inlineStr">
        <x:is>
          <x:t xml:space="preserve">Nov-26</x:t>
        </x:is>
      </x:c>
      <x:c r="C159" t="inlineStr">
        <x:is>
          <x:t xml:space="preserve"/>
        </x:is>
      </x:c>
      <x:c r="D159" t="inlineStr">
        <x:is>
          <x:t xml:space="preserve">Groceries</x:t>
        </x:is>
      </x:c>
      <x:c r="E159" t="inlineStr">
        <x:is>
          <x:t xml:space="preserve">Variable</x:t>
        </x:is>
      </x:c>
      <x:c r="F159" t="inlineStr">
        <x:is>
          <x:t xml:space="preserve">Credit Card</x:t>
        </x:is>
      </x:c>
      <x:c r="G159" s="3" t="n">
        <x:v>3075</x:v>
      </x:c>
      <x:c r="H159" s="5" t="inlineStr">
        <x:is>
          <x:t xml:space="preserve">Expense</x:t>
        </x:is>
      </x:c>
      <x:c r="I159" s="3" t="n">
        <x:v>-3075</x:v>
      </x:c>
      <x:c r="J159" s="3" t="n">
        <x:v>7870</x:v>
      </x:c>
      <x:c r="K159" s="3" t="n">
        <x:v>4795</x:v>
      </x:c>
      <x:c r="L159" t="inlineStr">
        <x:is>
          <x:t xml:space="preserve">Monthly essentials restock</x:t>
        </x:is>
      </x:c>
    </x:row>
    <x:row r="160">
      <x:c r="A160" s="2" t="n">
        <x:v>46349</x:v>
      </x:c>
      <x:c r="B160" t="inlineStr">
        <x:is>
          <x:t xml:space="preserve">Nov-26</x:t>
        </x:is>
      </x:c>
      <x:c r="C160" t="inlineStr">
        <x:is>
          <x:t xml:space="preserve"/>
        </x:is>
      </x:c>
      <x:c r="D160" t="inlineStr">
        <x:is>
          <x:t xml:space="preserve">Shopping</x:t>
        </x:is>
      </x:c>
      <x:c r="E160" t="inlineStr">
        <x:is>
          <x:t xml:space="preserve">Variable</x:t>
        </x:is>
      </x:c>
      <x:c r="F160" t="inlineStr">
        <x:is>
          <x:t xml:space="preserve">Credit Card</x:t>
        </x:is>
      </x:c>
      <x:c r="G160" s="3" t="n">
        <x:v>5008</x:v>
      </x:c>
      <x:c r="H160" s="5" t="inlineStr">
        <x:is>
          <x:t xml:space="preserve">Expense</x:t>
        </x:is>
      </x:c>
      <x:c r="I160" s="3" t="n">
        <x:v>-5008</x:v>
      </x:c>
      <x:c r="J160" s="3" t="n">
        <x:v>5742</x:v>
      </x:c>
      <x:c r="K160" s="3" t="n">
        <x:v>734</x:v>
      </x:c>
      <x:c r="L160" t="inlineStr">
        <x:is>
          <x:t xml:space="preserve">Seasonal / festive shopping</x:t>
        </x:is>
      </x:c>
    </x:row>
    <x:row r="161">
      <x:c r="A161" s="2" t="n">
        <x:v>46351</x:v>
      </x:c>
      <x:c r="B161" t="inlineStr">
        <x:is>
          <x:t xml:space="preserve">Nov-26</x:t>
        </x:is>
      </x:c>
      <x:c r="C161" t="inlineStr">
        <x:is>
          <x:t xml:space="preserve"/>
        </x:is>
      </x:c>
      <x:c r="D161" t="inlineStr">
        <x:is>
          <x:t xml:space="preserve">Food</x:t>
        </x:is>
      </x:c>
      <x:c r="E161" t="inlineStr">
        <x:is>
          <x:t xml:space="preserve">Variable</x:t>
        </x:is>
      </x:c>
      <x:c r="F161" t="inlineStr">
        <x:is>
          <x:t xml:space="preserve">Cash</x:t>
        </x:is>
      </x:c>
      <x:c r="G161" s="3" t="n">
        <x:v>2720</x:v>
      </x:c>
      <x:c r="H161" s="5" t="inlineStr">
        <x:is>
          <x:t xml:space="preserve">Expense</x:t>
        </x:is>
      </x:c>
      <x:c r="I161" s="3" t="n">
        <x:v>-2720</x:v>
      </x:c>
      <x:c r="J161" s="3" t="n">
        <x:v>6044</x:v>
      </x:c>
      <x:c r="K161" s="3" t="n">
        <x:v>3324</x:v>
      </x:c>
      <x:c r="L161" t="inlineStr">
        <x:is>
          <x:t xml:space="preserve">Weekend food order</x:t>
        </x:is>
      </x:c>
    </x:row>
    <x:row r="162">
      <x:c r="A162" s="2" t="n">
        <x:v>46352</x:v>
      </x:c>
      <x:c r="B162" t="inlineStr">
        <x:is>
          <x:t xml:space="preserve">Nov-26</x:t>
        </x:is>
      </x:c>
      <x:c r="C162" t="inlineStr">
        <x:is>
          <x:t xml:space="preserve"/>
        </x:is>
      </x:c>
      <x:c r="D162" t="inlineStr">
        <x:is>
          <x:t xml:space="preserve">Education</x:t>
        </x:is>
      </x:c>
      <x:c r="E162" t="inlineStr">
        <x:is>
          <x:t xml:space="preserve">Variable</x:t>
        </x:is>
      </x:c>
      <x:c r="F162" t="inlineStr">
        <x:is>
          <x:t xml:space="preserve">Credit Card</x:t>
        </x:is>
      </x:c>
      <x:c r="G162" s="3" t="n">
        <x:v>2828</x:v>
      </x:c>
      <x:c r="H162" s="5" t="inlineStr">
        <x:is>
          <x:t xml:space="preserve">Expense</x:t>
        </x:is>
      </x:c>
      <x:c r="I162" s="3" t="n">
        <x:v>-2828</x:v>
      </x:c>
      <x:c r="J162" s="3" t="n">
        <x:v>2192</x:v>
      </x:c>
      <x:c r="K162" s="3" t="n">
        <x:v>-636</x:v>
      </x:c>
      <x:c r="L162" t="inlineStr">
        <x:is>
          <x:t xml:space="preserve">Course / books / certification</x:t>
        </x:is>
      </x:c>
    </x:row>
    <x:row r="163">
      <x:c r="A163" s="2" t="n">
        <x:v>46357</x:v>
      </x:c>
      <x:c r="B163" t="inlineStr">
        <x:is>
          <x:t xml:space="preserve">Dec-26</x:t>
        </x:is>
      </x:c>
      <x:c r="C163" t="inlineStr">
        <x:is>
          <x:t xml:space="preserve">Salary</x:t>
        </x:is>
      </x:c>
      <x:c r="D163" t="inlineStr">
        <x:is>
          <x:t xml:space="preserve"/>
        </x:is>
      </x:c>
      <x:c r="E163" t="inlineStr">
        <x:is>
          <x:t xml:space="preserve">N/A</x:t>
        </x:is>
      </x:c>
      <x:c r="F163" t="inlineStr">
        <x:is>
          <x:t xml:space="preserve">Bank Transfer</x:t>
        </x:is>
      </x:c>
      <x:c r="G163" s="3" t="n">
        <x:v>94416</x:v>
      </x:c>
      <x:c r="H163" s="4" t="inlineStr">
        <x:is>
          <x:t xml:space="preserve">Income</x:t>
        </x:is>
      </x:c>
      <x:c r="I163" s="3" t="n">
        <x:v>94416</x:v>
      </x:c>
      <x:c r="J163" s="3" t="n">
        <x:v>0</x:v>
      </x:c>
      <x:c r="K163" s="3" t="n">
        <x:v>0</x:v>
      </x:c>
      <x:c r="L163" t="inlineStr">
        <x:is>
          <x:t xml:space="preserve">Monthly salary credited</x:t>
        </x:is>
      </x:c>
    </x:row>
    <x:row r="164">
      <x:c r="A164" s="2" t="n">
        <x:v>46358</x:v>
      </x:c>
      <x:c r="B164" t="inlineStr">
        <x:is>
          <x:t xml:space="preserve">Dec-26</x:t>
        </x:is>
      </x:c>
      <x:c r="C164" t="inlineStr">
        <x:is>
          <x:t xml:space="preserve"/>
        </x:is>
      </x:c>
      <x:c r="D164" t="inlineStr">
        <x:is>
          <x:t xml:space="preserve">Rent</x:t>
        </x:is>
      </x:c>
      <x:c r="E164" t="inlineStr">
        <x:is>
          <x:t xml:space="preserve">Fixed</x:t>
        </x:is>
      </x:c>
      <x:c r="F164" t="inlineStr">
        <x:is>
          <x:t xml:space="preserve">Bank Transfer</x:t>
        </x:is>
      </x:c>
      <x:c r="G164" s="3" t="n">
        <x:v>28000</x:v>
      </x:c>
      <x:c r="H164" s="5" t="inlineStr">
        <x:is>
          <x:t xml:space="preserve">Expense</x:t>
        </x:is>
      </x:c>
      <x:c r="I164" s="3" t="n">
        <x:v>-28000</x:v>
      </x:c>
      <x:c r="J164" s="3" t="n">
        <x:v>28000</x:v>
      </x:c>
      <x:c r="K164" s="3" t="n">
        <x:v>0</x:v>
      </x:c>
      <x:c r="L164" t="inlineStr">
        <x:is>
          <x:t xml:space="preserve">House rent payment</x:t>
        </x:is>
      </x:c>
    </x:row>
    <x:row r="165">
      <x:c r="A165" s="2" t="n">
        <x:v>46361</x:v>
      </x:c>
      <x:c r="B165" t="inlineStr">
        <x:is>
          <x:t xml:space="preserve">Dec-26</x:t>
        </x:is>
      </x:c>
      <x:c r="C165" t="inlineStr">
        <x:is>
          <x:t xml:space="preserve"/>
        </x:is>
      </x:c>
      <x:c r="D165" t="inlineStr">
        <x:is>
          <x:t xml:space="preserve">EMI</x:t>
        </x:is>
      </x:c>
      <x:c r="E165" t="inlineStr">
        <x:is>
          <x:t xml:space="preserve">Fixed</x:t>
        </x:is>
      </x:c>
      <x:c r="F165" t="inlineStr">
        <x:is>
          <x:t xml:space="preserve">Bank Transfer</x:t>
        </x:is>
      </x:c>
      <x:c r="G165" s="3" t="n">
        <x:v>9000</x:v>
      </x:c>
      <x:c r="H165" s="5" t="inlineStr">
        <x:is>
          <x:t xml:space="preserve">Expense</x:t>
        </x:is>
      </x:c>
      <x:c r="I165" s="3" t="n">
        <x:v>-9000</x:v>
      </x:c>
      <x:c r="J165" s="3" t="n">
        <x:v>9000</x:v>
      </x:c>
      <x:c r="K165" s="3" t="n">
        <x:v>0</x:v>
      </x:c>
      <x:c r="L165" t="inlineStr">
        <x:is>
          <x:t xml:space="preserve">Personal loan EMI</x:t>
        </x:is>
      </x:c>
    </x:row>
    <x:row r="166">
      <x:c r="A166" s="2" t="n">
        <x:v>46363</x:v>
      </x:c>
      <x:c r="B166" t="inlineStr">
        <x:is>
          <x:t xml:space="preserve">Dec-26</x:t>
        </x:is>
      </x:c>
      <x:c r="C166" t="inlineStr">
        <x:is>
          <x:t xml:space="preserve"/>
        </x:is>
      </x:c>
      <x:c r="D166" t="inlineStr">
        <x:is>
          <x:t xml:space="preserve">Groceries</x:t>
        </x:is>
      </x:c>
      <x:c r="E166" t="inlineStr">
        <x:is>
          <x:t xml:space="preserve">Variable</x:t>
        </x:is>
      </x:c>
      <x:c r="F166" t="inlineStr">
        <x:is>
          <x:t xml:space="preserve">Credit Card</x:t>
        </x:is>
      </x:c>
      <x:c r="G166" s="3" t="n">
        <x:v>2807</x:v>
      </x:c>
      <x:c r="H166" s="5" t="inlineStr">
        <x:is>
          <x:t xml:space="preserve">Expense</x:t>
        </x:is>
      </x:c>
      <x:c r="I166" s="3" t="n">
        <x:v>-2807</x:v>
      </x:c>
      <x:c r="J166" s="3" t="n">
        <x:v>6905</x:v>
      </x:c>
      <x:c r="K166" s="3" t="n">
        <x:v>4098</x:v>
      </x:c>
      <x:c r="L166" t="inlineStr">
        <x:is>
          <x:t xml:space="preserve">Supermarket groceries</x:t>
        </x:is>
      </x:c>
    </x:row>
    <x:row r="167">
      <x:c r="A167" s="2" t="n">
        <x:v>46364</x:v>
      </x:c>
      <x:c r="B167" t="inlineStr">
        <x:is>
          <x:t xml:space="preserve">Dec-26</x:t>
        </x:is>
      </x:c>
      <x:c r="C167" t="inlineStr">
        <x:is>
          <x:t xml:space="preserve"/>
        </x:is>
      </x:c>
      <x:c r="D167" t="inlineStr">
        <x:is>
          <x:t xml:space="preserve">Utilities</x:t>
        </x:is>
      </x:c>
      <x:c r="E167" t="inlineStr">
        <x:is>
          <x:t xml:space="preserve">Fixed</x:t>
        </x:is>
      </x:c>
      <x:c r="F167" t="inlineStr">
        <x:is>
          <x:t xml:space="preserve">Bank Transfer</x:t>
        </x:is>
      </x:c>
      <x:c r="G167" s="3" t="n">
        <x:v>2033</x:v>
      </x:c>
      <x:c r="H167" s="5" t="inlineStr">
        <x:is>
          <x:t xml:space="preserve">Expense</x:t>
        </x:is>
      </x:c>
      <x:c r="I167" s="3" t="n">
        <x:v>-2033</x:v>
      </x:c>
      <x:c r="J167" s="3" t="n">
        <x:v>4503</x:v>
      </x:c>
      <x:c r="K167" s="3" t="n">
        <x:v>2470</x:v>
      </x:c>
      <x:c r="L167" t="inlineStr">
        <x:is>
          <x:t xml:space="preserve">Electricity bill</x:t>
        </x:is>
      </x:c>
    </x:row>
    <x:row r="168">
      <x:c r="A168" s="2" t="n">
        <x:v>46365</x:v>
      </x:c>
      <x:c r="B168" t="inlineStr">
        <x:is>
          <x:t xml:space="preserve">Dec-26</x:t>
        </x:is>
      </x:c>
      <x:c r="C168" t="inlineStr">
        <x:is>
          <x:t xml:space="preserve">Freelance</x:t>
        </x:is>
      </x:c>
      <x:c r="D168" t="inlineStr">
        <x:is>
          <x:t xml:space="preserve"/>
        </x:is>
      </x:c>
      <x:c r="E168" t="inlineStr">
        <x:is>
          <x:t xml:space="preserve">N/A</x:t>
        </x:is>
      </x:c>
      <x:c r="F168" t="inlineStr">
        <x:is>
          <x:t xml:space="preserve">Bank Transfer</x:t>
        </x:is>
      </x:c>
      <x:c r="G168" s="3" t="n">
        <x:v>25862</x:v>
      </x:c>
      <x:c r="H168" s="4" t="inlineStr">
        <x:is>
          <x:t xml:space="preserve">Income</x:t>
        </x:is>
      </x:c>
      <x:c r="I168" s="3" t="n">
        <x:v>25862</x:v>
      </x:c>
      <x:c r="J168" s="3" t="n">
        <x:v>0</x:v>
      </x:c>
      <x:c r="K168" s="3" t="n">
        <x:v>0</x:v>
      </x:c>
      <x:c r="L168" t="inlineStr">
        <x:is>
          <x:t xml:space="preserve">Freelance project payment</x:t>
        </x:is>
      </x:c>
    </x:row>
    <x:row r="169">
      <x:c r="A169" s="2" t="n">
        <x:v>46367</x:v>
      </x:c>
      <x:c r="B169" t="inlineStr">
        <x:is>
          <x:t xml:space="preserve">Dec-26</x:t>
        </x:is>
      </x:c>
      <x:c r="C169" t="inlineStr">
        <x:is>
          <x:t xml:space="preserve"/>
        </x:is>
      </x:c>
      <x:c r="D169" t="inlineStr">
        <x:is>
          <x:t xml:space="preserve">Utilities</x:t>
        </x:is>
      </x:c>
      <x:c r="E169" t="inlineStr">
        <x:is>
          <x:t xml:space="preserve">Fixed</x:t>
        </x:is>
      </x:c>
      <x:c r="F169" t="inlineStr">
        <x:is>
          <x:t xml:space="preserve">UPI</x:t>
        </x:is>
      </x:c>
      <x:c r="G169" s="3" t="n">
        <x:v>2049</x:v>
      </x:c>
      <x:c r="H169" s="5" t="inlineStr">
        <x:is>
          <x:t xml:space="preserve">Expense</x:t>
        </x:is>
      </x:c>
      <x:c r="I169" s="3" t="n">
        <x:v>-2049</x:v>
      </x:c>
      <x:c r="J169" s="3" t="n">
        <x:v>4503</x:v>
      </x:c>
      <x:c r="K169" s="3" t="n">
        <x:v>2454</x:v>
      </x:c>
      <x:c r="L169" t="inlineStr">
        <x:is>
          <x:t xml:space="preserve">Internet / mobile bill</x:t>
        </x:is>
      </x:c>
    </x:row>
    <x:row r="170">
      <x:c r="A170" s="2" t="n">
        <x:v>46368</x:v>
      </x:c>
      <x:c r="B170" t="inlineStr">
        <x:is>
          <x:t xml:space="preserve">Dec-26</x:t>
        </x:is>
      </x:c>
      <x:c r="C170" t="inlineStr">
        <x:is>
          <x:t xml:space="preserve"/>
        </x:is>
      </x:c>
      <x:c r="D170" t="inlineStr">
        <x:is>
          <x:t xml:space="preserve">Food</x:t>
        </x:is>
      </x:c>
      <x:c r="E170" t="inlineStr">
        <x:is>
          <x:t xml:space="preserve">Variable</x:t>
        </x:is>
      </x:c>
      <x:c r="F170" t="inlineStr">
        <x:is>
          <x:t xml:space="preserve">UPI</x:t>
        </x:is>
      </x:c>
      <x:c r="G170" s="3" t="n">
        <x:v>1736</x:v>
      </x:c>
      <x:c r="H170" s="5" t="inlineStr">
        <x:is>
          <x:t xml:space="preserve">Expense</x:t>
        </x:is>
      </x:c>
      <x:c r="I170" s="3" t="n">
        <x:v>-1736</x:v>
      </x:c>
      <x:c r="J170" s="3" t="n">
        <x:v>6549</x:v>
      </x:c>
      <x:c r="K170" s="3" t="n">
        <x:v>4813</x:v>
      </x:c>
      <x:c r="L170" t="inlineStr">
        <x:is>
          <x:t xml:space="preserve">Dining out / office lunch</x:t>
        </x:is>
      </x:c>
    </x:row>
    <x:row r="171">
      <x:c r="A171" s="2" t="n">
        <x:v>46371</x:v>
      </x:c>
      <x:c r="B171" t="inlineStr">
        <x:is>
          <x:t xml:space="preserve">Dec-26</x:t>
        </x:is>
      </x:c>
      <x:c r="C171" t="inlineStr">
        <x:is>
          <x:t xml:space="preserve"/>
        </x:is>
      </x:c>
      <x:c r="D171" t="inlineStr">
        <x:is>
          <x:t xml:space="preserve">Travel</x:t>
        </x:is>
      </x:c>
      <x:c r="E171" t="inlineStr">
        <x:is>
          <x:t xml:space="preserve">Variable</x:t>
        </x:is>
      </x:c>
      <x:c r="F171" t="inlineStr">
        <x:is>
          <x:t xml:space="preserve">Cash</x:t>
        </x:is>
      </x:c>
      <x:c r="G171" s="3" t="n">
        <x:v>3021</x:v>
      </x:c>
      <x:c r="H171" s="5" t="inlineStr">
        <x:is>
          <x:t xml:space="preserve">Expense</x:t>
        </x:is>
      </x:c>
      <x:c r="I171" s="3" t="n">
        <x:v>-3021</x:v>
      </x:c>
      <x:c r="J171" s="3" t="n">
        <x:v>5097</x:v>
      </x:c>
      <x:c r="K171" s="3" t="n">
        <x:v>2076</x:v>
      </x:c>
      <x:c r="L171" t="inlineStr">
        <x:is>
          <x:t xml:space="preserve">Cab / fuel / local travel</x:t>
        </x:is>
      </x:c>
    </x:row>
    <x:row r="172">
      <x:c r="A172" s="2" t="n">
        <x:v>46372</x:v>
      </x:c>
      <x:c r="B172" t="inlineStr">
        <x:is>
          <x:t xml:space="preserve">Dec-26</x:t>
        </x:is>
      </x:c>
      <x:c r="C172" t="inlineStr">
        <x:is>
          <x:t xml:space="preserve"/>
        </x:is>
      </x:c>
      <x:c r="D172" t="inlineStr">
        <x:is>
          <x:t xml:space="preserve">Shopping</x:t>
        </x:is>
      </x:c>
      <x:c r="E172" t="inlineStr">
        <x:is>
          <x:t xml:space="preserve">Variable</x:t>
        </x:is>
      </x:c>
      <x:c r="F172" t="inlineStr">
        <x:is>
          <x:t xml:space="preserve">UPI</x:t>
        </x:is>
      </x:c>
      <x:c r="G172" s="3" t="n">
        <x:v>6094</x:v>
      </x:c>
      <x:c r="H172" s="5" t="inlineStr">
        <x:is>
          <x:t xml:space="preserve">Expense</x:t>
        </x:is>
      </x:c>
      <x:c r="I172" s="3" t="n">
        <x:v>-6094</x:v>
      </x:c>
      <x:c r="J172" s="3" t="n">
        <x:v>4938</x:v>
      </x:c>
      <x:c r="K172" s="3" t="n">
        <x:v>-1156</x:v>
      </x:c>
      <x:c r="L172" t="inlineStr">
        <x:is>
          <x:t xml:space="preserve">Apparel / lifestyle purchase</x:t>
        </x:is>
      </x:c>
    </x:row>
    <x:row r="173">
      <x:c r="A173" s="2" t="n">
        <x:v>46374</x:v>
      </x:c>
      <x:c r="B173" t="inlineStr">
        <x:is>
          <x:t xml:space="preserve">Dec-26</x:t>
        </x:is>
      </x:c>
      <x:c r="C173" t="inlineStr">
        <x:is>
          <x:t xml:space="preserve"/>
        </x:is>
      </x:c>
      <x:c r="D173" t="inlineStr">
        <x:is>
          <x:t xml:space="preserve">Entertainment</x:t>
        </x:is>
      </x:c>
      <x:c r="E173" t="inlineStr">
        <x:is>
          <x:t xml:space="preserve">Variable</x:t>
        </x:is>
      </x:c>
      <x:c r="F173" t="inlineStr">
        <x:is>
          <x:t xml:space="preserve">Cash</x:t>
        </x:is>
      </x:c>
      <x:c r="G173" s="3" t="n">
        <x:v>2345</x:v>
      </x:c>
      <x:c r="H173" s="5" t="inlineStr">
        <x:is>
          <x:t xml:space="preserve">Expense</x:t>
        </x:is>
      </x:c>
      <x:c r="I173" s="3" t="n">
        <x:v>-2345</x:v>
      </x:c>
      <x:c r="J173" s="3" t="n">
        <x:v>3277</x:v>
      </x:c>
      <x:c r="K173" s="3" t="n">
        <x:v>932</x:v>
      </x:c>
      <x:c r="L173" t="inlineStr">
        <x:is>
          <x:t xml:space="preserve">Movies / subscriptions</x:t>
        </x:is>
      </x:c>
    </x:row>
    <x:row r="174">
      <x:c r="A174" s="2" t="n">
        <x:v>46375</x:v>
      </x:c>
      <x:c r="B174" t="inlineStr">
        <x:is>
          <x:t xml:space="preserve">Dec-26</x:t>
        </x:is>
      </x:c>
      <x:c r="C174" t="inlineStr">
        <x:is>
          <x:t xml:space="preserve"/>
        </x:is>
      </x:c>
      <x:c r="D174" t="inlineStr">
        <x:is>
          <x:t xml:space="preserve">Healthcare</x:t>
        </x:is>
      </x:c>
      <x:c r="E174" t="inlineStr">
        <x:is>
          <x:t xml:space="preserve">Variable</x:t>
        </x:is>
      </x:c>
      <x:c r="F174" t="inlineStr">
        <x:is>
          <x:t xml:space="preserve">Credit Card</x:t>
        </x:is>
      </x:c>
      <x:c r="G174" s="3" t="n">
        <x:v>1480</x:v>
      </x:c>
      <x:c r="H174" s="5" t="inlineStr">
        <x:is>
          <x:t xml:space="preserve">Expense</x:t>
        </x:is>
      </x:c>
      <x:c r="I174" s="3" t="n">
        <x:v>-1480</x:v>
      </x:c>
      <x:c r="J174" s="3" t="n">
        <x:v>3595</x:v>
      </x:c>
      <x:c r="K174" s="3" t="n">
        <x:v>2115</x:v>
      </x:c>
      <x:c r="L174" t="inlineStr">
        <x:is>
          <x:t xml:space="preserve">Health and wellness spend</x:t>
        </x:is>
      </x:c>
    </x:row>
    <x:row r="175">
      <x:c r="A175" s="2" t="n">
        <x:v>46376</x:v>
      </x:c>
      <x:c r="B175" t="inlineStr">
        <x:is>
          <x:t xml:space="preserve">Dec-26</x:t>
        </x:is>
      </x:c>
      <x:c r="C175" t="inlineStr">
        <x:is>
          <x:t xml:space="preserve">Bonus</x:t>
        </x:is>
      </x:c>
      <x:c r="D175" t="inlineStr">
        <x:is>
          <x:t xml:space="preserve"/>
        </x:is>
      </x:c>
      <x:c r="E175" t="inlineStr">
        <x:is>
          <x:t xml:space="preserve">N/A</x:t>
        </x:is>
      </x:c>
      <x:c r="F175" t="inlineStr">
        <x:is>
          <x:t xml:space="preserve">Bank Transfer</x:t>
        </x:is>
      </x:c>
      <x:c r="G175" s="3" t="n">
        <x:v>45000</x:v>
      </x:c>
      <x:c r="H175" s="4" t="inlineStr">
        <x:is>
          <x:t xml:space="preserve">Income</x:t>
        </x:is>
      </x:c>
      <x:c r="I175" s="3" t="n">
        <x:v>45000</x:v>
      </x:c>
      <x:c r="J175" s="3" t="n">
        <x:v>0</x:v>
      </x:c>
      <x:c r="K175" s="3" t="n">
        <x:v>0</x:v>
      </x:c>
      <x:c r="L175" t="inlineStr">
        <x:is>
          <x:t xml:space="preserve">Year-end performance bonus</x:t>
        </x:is>
      </x:c>
    </x:row>
    <x:row r="176">
      <x:c r="A176" s="2" t="n">
        <x:v>46377</x:v>
      </x:c>
      <x:c r="B176" t="inlineStr">
        <x:is>
          <x:t xml:space="preserve">Dec-26</x:t>
        </x:is>
      </x:c>
      <x:c r="C176" t="inlineStr">
        <x:is>
          <x:t xml:space="preserve"/>
        </x:is>
      </x:c>
      <x:c r="D176" t="inlineStr">
        <x:is>
          <x:t xml:space="preserve">Groceries</x:t>
        </x:is>
      </x:c>
      <x:c r="E176" t="inlineStr">
        <x:is>
          <x:t xml:space="preserve">Variable</x:t>
        </x:is>
      </x:c>
      <x:c r="F176" t="inlineStr">
        <x:is>
          <x:t xml:space="preserve">Cash</x:t>
        </x:is>
      </x:c>
      <x:c r="G176" s="3" t="n">
        <x:v>3067</x:v>
      </x:c>
      <x:c r="H176" s="5" t="inlineStr">
        <x:is>
          <x:t xml:space="preserve">Expense</x:t>
        </x:is>
      </x:c>
      <x:c r="I176" s="3" t="n">
        <x:v>-3067</x:v>
      </x:c>
      <x:c r="J176" s="3" t="n">
        <x:v>6905</x:v>
      </x:c>
      <x:c r="K176" s="3" t="n">
        <x:v>3838</x:v>
      </x:c>
      <x:c r="L176" t="inlineStr">
        <x:is>
          <x:t xml:space="preserve">Monthly essentials restock</x:t>
        </x:is>
      </x:c>
    </x:row>
    <x:row r="177">
      <x:c r="A177" s="2" t="n">
        <x:v>46379</x:v>
      </x:c>
      <x:c r="B177" t="inlineStr">
        <x:is>
          <x:t xml:space="preserve">Dec-26</x:t>
        </x:is>
      </x:c>
      <x:c r="C177" t="inlineStr">
        <x:is>
          <x:t xml:space="preserve"/>
        </x:is>
      </x:c>
      <x:c r="D177" t="inlineStr">
        <x:is>
          <x:t xml:space="preserve">Shopping</x:t>
        </x:is>
      </x:c>
      <x:c r="E177" t="inlineStr">
        <x:is>
          <x:t xml:space="preserve">Variable</x:t>
        </x:is>
      </x:c>
      <x:c r="F177" t="inlineStr">
        <x:is>
          <x:t xml:space="preserve">Credit Card</x:t>
        </x:is>
      </x:c>
      <x:c r="G177" s="3" t="n">
        <x:v>3116</x:v>
      </x:c>
      <x:c r="H177" s="5" t="inlineStr">
        <x:is>
          <x:t xml:space="preserve">Expense</x:t>
        </x:is>
      </x:c>
      <x:c r="I177" s="3" t="n">
        <x:v>-3116</x:v>
      </x:c>
      <x:c r="J177" s="3" t="n">
        <x:v>4938</x:v>
      </x:c>
      <x:c r="K177" s="3" t="n">
        <x:v>1822</x:v>
      </x:c>
      <x:c r="L177" t="inlineStr">
        <x:is>
          <x:t xml:space="preserve">Seasonal / festive shopping</x:t>
        </x:is>
      </x:c>
    </x:row>
    <x:row r="178">
      <x:c r="A178" s="2" t="n">
        <x:v>46381</x:v>
      </x:c>
      <x:c r="B178" t="inlineStr">
        <x:is>
          <x:t xml:space="preserve">Dec-26</x:t>
        </x:is>
      </x:c>
      <x:c r="C178" t="inlineStr">
        <x:is>
          <x:t xml:space="preserve"/>
        </x:is>
      </x:c>
      <x:c r="D178" t="inlineStr">
        <x:is>
          <x:t xml:space="preserve">Food</x:t>
        </x:is>
      </x:c>
      <x:c r="E178" t="inlineStr">
        <x:is>
          <x:t xml:space="preserve">Variable</x:t>
        </x:is>
      </x:c>
      <x:c r="F178" t="inlineStr">
        <x:is>
          <x:t xml:space="preserve">Credit Card</x:t>
        </x:is>
      </x:c>
      <x:c r="G178" s="3" t="n">
        <x:v>2718</x:v>
      </x:c>
      <x:c r="H178" s="5" t="inlineStr">
        <x:is>
          <x:t xml:space="preserve">Expense</x:t>
        </x:is>
      </x:c>
      <x:c r="I178" s="3" t="n">
        <x:v>-2718</x:v>
      </x:c>
      <x:c r="J178" s="3" t="n">
        <x:v>6549</x:v>
      </x:c>
      <x:c r="K178" s="3" t="n">
        <x:v>3831</x:v>
      </x:c>
      <x:c r="L178" t="inlineStr">
        <x:is>
          <x:t xml:space="preserve">Weekend food order</x:t>
        </x:is>
      </x:c>
    </x:row>
    <x:row r="179">
      <x:c r="A179" s="2" t="n">
        <x:v>46382</x:v>
      </x:c>
      <x:c r="B179" t="inlineStr">
        <x:is>
          <x:t xml:space="preserve">Dec-26</x:t>
        </x:is>
      </x:c>
      <x:c r="C179" t="inlineStr">
        <x:is>
          <x:t xml:space="preserve"/>
        </x:is>
      </x:c>
      <x:c r="D179" t="inlineStr">
        <x:is>
          <x:t xml:space="preserve">Travel</x:t>
        </x:is>
      </x:c>
      <x:c r="E179" t="inlineStr">
        <x:is>
          <x:t xml:space="preserve">Variable</x:t>
        </x:is>
      </x:c>
      <x:c r="F179" t="inlineStr">
        <x:is>
          <x:t xml:space="preserve">Credit Card</x:t>
        </x:is>
      </x:c>
      <x:c r="G179" s="3" t="n">
        <x:v>11337</x:v>
      </x:c>
      <x:c r="H179" s="5" t="inlineStr">
        <x:is>
          <x:t xml:space="preserve">Expense</x:t>
        </x:is>
      </x:c>
      <x:c r="I179" s="3" t="n">
        <x:v>-11337</x:v>
      </x:c>
      <x:c r="J179" s="3" t="n">
        <x:v>5097</x:v>
      </x:c>
      <x:c r="K179" s="3" t="n">
        <x:v>-6240</x:v>
      </x:c>
      <x:c r="L179" t="inlineStr">
        <x:is>
          <x:t xml:space="preserve">Short trip / weekend getaway</x:t>
        </x:is>
      </x:c>
    </x:row>
    <x:row r="180">
      <x:c r="A180" s="2" t="n">
        <x:v>46383</x:v>
      </x:c>
      <x:c r="B180" t="inlineStr">
        <x:is>
          <x:t xml:space="preserve">Dec-26</x:t>
        </x:is>
      </x:c>
      <x:c r="C180" t="inlineStr">
        <x:is>
          <x:t xml:space="preserve">Interest</x:t>
        </x:is>
      </x:c>
      <x:c r="D180" t="inlineStr">
        <x:is>
          <x:t xml:space="preserve"/>
        </x:is>
      </x:c>
      <x:c r="E180" t="inlineStr">
        <x:is>
          <x:t xml:space="preserve">N/A</x:t>
        </x:is>
      </x:c>
      <x:c r="F180" t="inlineStr">
        <x:is>
          <x:t xml:space="preserve">Bank Transfer</x:t>
        </x:is>
      </x:c>
      <x:c r="G180" s="3" t="n">
        <x:v>3099</x:v>
      </x:c>
      <x:c r="H180" s="4" t="inlineStr">
        <x:is>
          <x:t xml:space="preserve">Income</x:t>
        </x:is>
      </x:c>
      <x:c r="I180" s="3" t="n">
        <x:v>3099</x:v>
      </x:c>
      <x:c r="J180" s="3" t="n">
        <x:v>0</x:v>
      </x:c>
      <x:c r="K180" s="3" t="n">
        <x:v>0</x:v>
      </x:c>
      <x:c r="L180" t="inlineStr">
        <x:is>
          <x:t xml:space="preserve">Interest from savings / FD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7a97e31464e41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6" customWidth="1"/>
    <x:col min="4" max="4" width="18" customWidth="1"/>
    <x:col min="5" max="5" width="13" customWidth="1"/>
    <x:col min="6" max="6" width="15" customWidth="1"/>
    <x:col min="7" max="7" width="12" customWidth="1"/>
    <x:col min="8" max="8" width="20" customWidth="1"/>
    <x:col min="9" max="9" width="12" customWidth="1"/>
    <x:col min="10" max="10" width="15" customWidth="1"/>
    <x:col min="11" max="11" width="15" customWidth="1"/>
    <x:col min="12" max="12" width="28" customWidth="1"/>
  </x:cols>
  <x:sheetData>
    <x:row r="1">
      <x:c r="A1" s="6" t="inlineStr">
        <x:is>
          <x:t xml:space="preserve">Date</x:t>
        </x:is>
      </x:c>
      <x:c r="B1" s="6" t="inlineStr">
        <x:is>
          <x:t xml:space="preserve">Month</x:t>
        </x:is>
      </x:c>
      <x:c r="C1" s="6" t="inlineStr">
        <x:is>
          <x:t xml:space="preserve">Income Source</x:t>
        </x:is>
      </x:c>
      <x:c r="D1" s="6" t="inlineStr">
        <x:is>
          <x:t xml:space="preserve">Expense Category</x:t>
        </x:is>
      </x:c>
      <x:c r="E1" s="6" t="inlineStr">
        <x:is>
          <x:t xml:space="preserve">Expense Type</x:t>
        </x:is>
      </x:c>
      <x:c r="F1" s="6" t="inlineStr">
        <x:is>
          <x:t xml:space="preserve">Payment Mode</x:t>
        </x:is>
      </x:c>
      <x:c r="G1" s="6" t="inlineStr">
        <x:is>
          <x:t xml:space="preserve">Amount</x:t>
        </x:is>
      </x:c>
      <x:c r="H1" s="6" t="inlineStr">
        <x:is>
          <x:t xml:space="preserve">Income/Expense Indicator</x:t>
        </x:is>
      </x:c>
      <x:c r="I1" s="6" t="inlineStr">
        <x:is>
          <x:t xml:space="preserve">Savings</x:t>
        </x:is>
      </x:c>
      <x:c r="J1" s="6" t="inlineStr">
        <x:is>
          <x:t xml:space="preserve">Budget Allocated</x:t>
        </x:is>
      </x:c>
      <x:c r="K1" s="6" t="inlineStr">
        <x:is>
          <x:t xml:space="preserve">Budget Remaining</x:t>
        </x:is>
      </x:c>
      <x:c r="L1" s="6" t="inlineStr">
        <x:is>
          <x:t xml:space="preserve">Notes</x:t>
        </x:is>
      </x:c>
    </x:row>
    <x:row r="2">
      <x:c r="A2" s="2">
        <x:f>'Raw Data'!A2</x:f>
        <x:v>46023</x:v>
      </x:c>
      <x:c r="B2" t="str">
        <x:f>TRIM('Raw Data'!B2)</x:f>
        <x:v>Jan-26</x:v>
      </x:c>
      <x:c r="C2" t="str">
        <x:f>TRIM('Raw Data'!C2)</x:f>
        <x:v>Salary</x:v>
      </x:c>
      <x:c r="D2">
        <x:f>TRIM('Raw Data'!D2)</x:f>
      </x:c>
      <x:c r="E2" t="str">
        <x:f>TRIM('Raw Data'!E2)</x:f>
        <x:v>N/A</x:v>
      </x:c>
      <x:c r="F2" t="str">
        <x:f>TRIM('Raw Data'!F2)</x:f>
        <x:v>Bank Transfer</x:v>
      </x:c>
      <x:c r="G2" s="3">
        <x:f>ABS('Raw Data'!G2)</x:f>
        <x:v>88796</x:v>
      </x:c>
      <x:c r="H2" t="str">
        <x:f>TRIM('Raw Data'!H2)</x:f>
        <x:v>Income</x:v>
      </x:c>
      <x:c r="I2" s="3">
        <x:f>IF(H2="Income",G2,-G2)</x:f>
        <x:v>88796</x:v>
      </x:c>
      <x:c r="J2" s="3">
        <x:f>IF(H2="Expense",SUMIFS('Budget Planning'!$C$2:$C$133,'Budget Planning'!$A$2:$A$133,B2,'Budget Planning'!$B$2:$B$133,D2),0)</x:f>
        <x:v>0</x:v>
      </x:c>
      <x:c r="K2" s="3">
        <x:f>IF(H2="Expense",J2-SUMIFS($G$2:G2,$B$2:B2,B2,$D$2:D2,D2,$H$2:H2,"Expense"),0)</x:f>
        <x:v>0</x:v>
      </x:c>
      <x:c r="L2" t="str">
        <x:f>'Raw Data'!L2</x:f>
        <x:v>Monthly salary credited</x:v>
      </x:c>
    </x:row>
    <x:row r="3">
      <x:c r="A3" s="2">
        <x:f>'Raw Data'!A3</x:f>
        <x:v>46024</x:v>
      </x:c>
      <x:c r="B3" t="str">
        <x:f>TRIM('Raw Data'!B3)</x:f>
        <x:v>Jan-26</x:v>
      </x:c>
      <x:c r="C3">
        <x:f>TRIM('Raw Data'!C3)</x:f>
      </x:c>
      <x:c r="D3" t="str">
        <x:f>TRIM('Raw Data'!D3)</x:f>
        <x:v>Rent</x:v>
      </x:c>
      <x:c r="E3" t="str">
        <x:f>TRIM('Raw Data'!E3)</x:f>
        <x:v>Fixed</x:v>
      </x:c>
      <x:c r="F3" t="str">
        <x:f>TRIM('Raw Data'!F3)</x:f>
        <x:v>Bank Transfer</x:v>
      </x:c>
      <x:c r="G3" s="3">
        <x:f>ABS('Raw Data'!G3)</x:f>
        <x:v>28000</x:v>
      </x:c>
      <x:c r="H3" t="str">
        <x:f>TRIM('Raw Data'!H3)</x:f>
        <x:v>Expense</x:v>
      </x:c>
      <x:c r="I3" s="3">
        <x:f>IF(H3="Income",G3,-G3)</x:f>
        <x:v>-28000</x:v>
      </x:c>
      <x:c r="J3" s="3">
        <x:f>IF(H3="Expense",SUMIFS('Budget Planning'!$C$2:$C$133,'Budget Planning'!$A$2:$A$133,B3,'Budget Planning'!$B$2:$B$133,D3),0)</x:f>
        <x:v>28000</x:v>
      </x:c>
      <x:c r="K3" s="3">
        <x:f>IF(H3="Expense",J3-SUMIFS($G$2:G3,$B$2:B3,B3,$D$2:D3,D3,$H$2:H3,"Expense"),0)</x:f>
        <x:v>0</x:v>
      </x:c>
      <x:c r="L3" t="str">
        <x:f>'Raw Data'!L3</x:f>
        <x:v>House rent payment</x:v>
      </x:c>
    </x:row>
    <x:row r="4">
      <x:c r="A4" s="2">
        <x:f>'Raw Data'!A4</x:f>
        <x:v>46027</x:v>
      </x:c>
      <x:c r="B4" t="str">
        <x:f>TRIM('Raw Data'!B4)</x:f>
        <x:v>Jan-26</x:v>
      </x:c>
      <x:c r="C4">
        <x:f>TRIM('Raw Data'!C4)</x:f>
      </x:c>
      <x:c r="D4" t="str">
        <x:f>TRIM('Raw Data'!D4)</x:f>
        <x:v>EMI</x:v>
      </x:c>
      <x:c r="E4" t="str">
        <x:f>TRIM('Raw Data'!E4)</x:f>
        <x:v>Fixed</x:v>
      </x:c>
      <x:c r="F4" t="str">
        <x:f>TRIM('Raw Data'!F4)</x:f>
        <x:v>Bank Transfer</x:v>
      </x:c>
      <x:c r="G4" s="3">
        <x:f>ABS('Raw Data'!G4)</x:f>
        <x:v>9000</x:v>
      </x:c>
      <x:c r="H4" t="str">
        <x:f>TRIM('Raw Data'!H4)</x:f>
        <x:v>Expense</x:v>
      </x:c>
      <x:c r="I4" s="3">
        <x:f>IF(H4="Income",G4,-G4)</x:f>
        <x:v>-9000</x:v>
      </x:c>
      <x:c r="J4" s="3">
        <x:f>IF(H4="Expense",SUMIFS('Budget Planning'!$C$2:$C$133,'Budget Planning'!$A$2:$A$133,B4,'Budget Planning'!$B$2:$B$133,D4),0)</x:f>
        <x:v>9000</x:v>
      </x:c>
      <x:c r="K4" s="3">
        <x:f>IF(H4="Expense",J4-SUMIFS($G$2:G4,$B$2:B4,B4,$D$2:D4,D4,$H$2:H4,"Expense"),0)</x:f>
        <x:v>0</x:v>
      </x:c>
      <x:c r="L4" t="str">
        <x:f>'Raw Data'!L4</x:f>
        <x:v>Personal loan EMI</x:v>
      </x:c>
    </x:row>
    <x:row r="5">
      <x:c r="A5" s="2">
        <x:f>'Raw Data'!A5</x:f>
        <x:v>46029</x:v>
      </x:c>
      <x:c r="B5" t="str">
        <x:f>TRIM('Raw Data'!B5)</x:f>
        <x:v>Jan-26</x:v>
      </x:c>
      <x:c r="C5">
        <x:f>TRIM('Raw Data'!C5)</x:f>
      </x:c>
      <x:c r="D5" t="str">
        <x:f>TRIM('Raw Data'!D5)</x:f>
        <x:v>Groceries</x:v>
      </x:c>
      <x:c r="E5" t="str">
        <x:f>TRIM('Raw Data'!E5)</x:f>
        <x:v>Variable</x:v>
      </x:c>
      <x:c r="F5" t="str">
        <x:f>TRIM('Raw Data'!F5)</x:f>
        <x:v>UPI</x:v>
      </x:c>
      <x:c r="G5" s="3">
        <x:f>ABS('Raw Data'!G5)</x:f>
        <x:v>2896</x:v>
      </x:c>
      <x:c r="H5" t="str">
        <x:f>TRIM('Raw Data'!H5)</x:f>
        <x:v>Expense</x:v>
      </x:c>
      <x:c r="I5" s="3">
        <x:f>IF(H5="Income",G5,-G5)</x:f>
        <x:v>-2896</x:v>
      </x:c>
      <x:c r="J5" s="3">
        <x:f>IF(H5="Expense",SUMIFS('Budget Planning'!$C$2:$C$133,'Budget Planning'!$A$2:$A$133,B5,'Budget Planning'!$B$2:$B$133,D5),0)</x:f>
        <x:v>6451</x:v>
      </x:c>
      <x:c r="K5" s="3">
        <x:f>IF(H5="Expense",J5-SUMIFS($G$2:G5,$B$2:B5,B5,$D$2:D5,D5,$H$2:H5,"Expense"),0)</x:f>
        <x:v>3555</x:v>
      </x:c>
      <x:c r="L5" t="str">
        <x:f>'Raw Data'!L5</x:f>
        <x:v>Supermarket groceries</x:v>
      </x:c>
    </x:row>
    <x:row r="6">
      <x:c r="A6" s="2">
        <x:f>'Raw Data'!A6</x:f>
        <x:v>46030</x:v>
      </x:c>
      <x:c r="B6" t="str">
        <x:f>TRIM('Raw Data'!B6)</x:f>
        <x:v>Jan-26</x:v>
      </x:c>
      <x:c r="C6">
        <x:f>TRIM('Raw Data'!C6)</x:f>
      </x:c>
      <x:c r="D6" t="str">
        <x:f>TRIM('Raw Data'!D6)</x:f>
        <x:v>Utilities</x:v>
      </x:c>
      <x:c r="E6" t="str">
        <x:f>TRIM('Raw Data'!E6)</x:f>
        <x:v>Fixed</x:v>
      </x:c>
      <x:c r="F6" t="str">
        <x:f>TRIM('Raw Data'!F6)</x:f>
        <x:v>Bank Transfer</x:v>
      </x:c>
      <x:c r="G6" s="3">
        <x:f>ABS('Raw Data'!G6)</x:f>
        <x:v>1741</x:v>
      </x:c>
      <x:c r="H6" t="str">
        <x:f>TRIM('Raw Data'!H6)</x:f>
        <x:v>Expense</x:v>
      </x:c>
      <x:c r="I6" s="3">
        <x:f>IF(H6="Income",G6,-G6)</x:f>
        <x:v>-1741</x:v>
      </x:c>
      <x:c r="J6" s="3">
        <x:f>IF(H6="Expense",SUMIFS('Budget Planning'!$C$2:$C$133,'Budget Planning'!$A$2:$A$133,B6,'Budget Planning'!$B$2:$B$133,D6),0)</x:f>
        <x:v>3901</x:v>
      </x:c>
      <x:c r="K6" s="3">
        <x:f>IF(H6="Expense",J6-SUMIFS($G$2:G6,$B$2:B6,B6,$D$2:D6,D6,$H$2:H6,"Expense"),0)</x:f>
        <x:v>2160</x:v>
      </x:c>
      <x:c r="L6" t="str">
        <x:f>'Raw Data'!L6</x:f>
        <x:v>Electricity bill</x:v>
      </x:c>
    </x:row>
    <x:row r="7">
      <x:c r="A7" s="2">
        <x:f>'Raw Data'!A7</x:f>
        <x:v>46031</x:v>
      </x:c>
      <x:c r="B7" t="str">
        <x:f>TRIM('Raw Data'!B7)</x:f>
        <x:v>Jan-26</x:v>
      </x:c>
      <x:c r="C7">
        <x:f>TRIM('Raw Data'!C7)</x:f>
      </x:c>
      <x:c r="D7" t="str">
        <x:f>TRIM('Raw Data'!D7)</x:f>
        <x:v>Insurance</x:v>
      </x:c>
      <x:c r="E7" t="str">
        <x:f>TRIM('Raw Data'!E7)</x:f>
        <x:v>Fixed</x:v>
      </x:c>
      <x:c r="F7" t="str">
        <x:f>TRIM('Raw Data'!F7)</x:f>
        <x:v>Bank Transfer</x:v>
      </x:c>
      <x:c r="G7" s="3">
        <x:f>ABS('Raw Data'!G7)</x:f>
        <x:v>3500</x:v>
      </x:c>
      <x:c r="H7" t="str">
        <x:f>TRIM('Raw Data'!H7)</x:f>
        <x:v>Expense</x:v>
      </x:c>
      <x:c r="I7" s="3">
        <x:f>IF(H7="Income",G7,-G7)</x:f>
        <x:v>-3500</x:v>
      </x:c>
      <x:c r="J7" s="3">
        <x:f>IF(H7="Expense",SUMIFS('Budget Planning'!$C$2:$C$133,'Budget Planning'!$A$2:$A$133,B7,'Budget Planning'!$B$2:$B$133,D7),0)</x:f>
        <x:v>3500</x:v>
      </x:c>
      <x:c r="K7" s="3">
        <x:f>IF(H7="Expense",J7-SUMIFS($G$2:G7,$B$2:B7,B7,$D$2:D7,D7,$H$2:H7,"Expense"),0)</x:f>
        <x:v>0</x:v>
      </x:c>
      <x:c r="L7" t="str">
        <x:f>'Raw Data'!L7</x:f>
        <x:v>Health insurance premium</x:v>
      </x:c>
    </x:row>
    <x:row r="8">
      <x:c r="A8" s="2">
        <x:f>'Raw Data'!A8</x:f>
        <x:v>46033</x:v>
      </x:c>
      <x:c r="B8" t="str">
        <x:f>TRIM('Raw Data'!B8)</x:f>
        <x:v>Jan-26</x:v>
      </x:c>
      <x:c r="C8">
        <x:f>TRIM('Raw Data'!C8)</x:f>
      </x:c>
      <x:c r="D8" t="str">
        <x:f>TRIM('Raw Data'!D8)</x:f>
        <x:v>Utilities</x:v>
      </x:c>
      <x:c r="E8" t="str">
        <x:f>TRIM('Raw Data'!E8)</x:f>
        <x:v>Fixed</x:v>
      </x:c>
      <x:c r="F8" t="str">
        <x:f>TRIM('Raw Data'!F8)</x:f>
        <x:v>UPI</x:v>
      </x:c>
      <x:c r="G8" s="3">
        <x:f>ABS('Raw Data'!G8)</x:f>
        <x:v>1721</x:v>
      </x:c>
      <x:c r="H8" t="str">
        <x:f>TRIM('Raw Data'!H8)</x:f>
        <x:v>Expense</x:v>
      </x:c>
      <x:c r="I8" s="3">
        <x:f>IF(H8="Income",G8,-G8)</x:f>
        <x:v>-1721</x:v>
      </x:c>
      <x:c r="J8" s="3">
        <x:f>IF(H8="Expense",SUMIFS('Budget Planning'!$C$2:$C$133,'Budget Planning'!$A$2:$A$133,B8,'Budget Planning'!$B$2:$B$133,D8),0)</x:f>
        <x:v>3901</x:v>
      </x:c>
      <x:c r="K8" s="3">
        <x:f>IF(H8="Expense",J8-SUMIFS($G$2:G8,$B$2:B8,B8,$D$2:D8,D8,$H$2:H8,"Expense"),0)</x:f>
        <x:v>439</x:v>
      </x:c>
      <x:c r="L8" t="str">
        <x:f>'Raw Data'!L8</x:f>
        <x:v>Internet / mobile bill</x:v>
      </x:c>
    </x:row>
    <x:row r="9">
      <x:c r="A9" s="2">
        <x:f>'Raw Data'!A9</x:f>
        <x:v>46034</x:v>
      </x:c>
      <x:c r="B9" t="str">
        <x:f>TRIM('Raw Data'!B9)</x:f>
        <x:v>Jan-26</x:v>
      </x:c>
      <x:c r="C9">
        <x:f>TRIM('Raw Data'!C9)</x:f>
      </x:c>
      <x:c r="D9" t="str">
        <x:f>TRIM('Raw Data'!D9)</x:f>
        <x:v>Food</x:v>
      </x:c>
      <x:c r="E9" t="str">
        <x:f>TRIM('Raw Data'!E9)</x:f>
        <x:v>Variable</x:v>
      </x:c>
      <x:c r="F9" t="str">
        <x:f>TRIM('Raw Data'!F9)</x:f>
        <x:v>Cash</x:v>
      </x:c>
      <x:c r="G9" s="3">
        <x:f>ABS('Raw Data'!G9)</x:f>
        <x:v>1527</x:v>
      </x:c>
      <x:c r="H9" t="str">
        <x:f>TRIM('Raw Data'!H9)</x:f>
        <x:v>Expense</x:v>
      </x:c>
      <x:c r="I9" s="3">
        <x:f>IF(H9="Income",G9,-G9)</x:f>
        <x:v>-1527</x:v>
      </x:c>
      <x:c r="J9" s="3">
        <x:f>IF(H9="Expense",SUMIFS('Budget Planning'!$C$2:$C$133,'Budget Planning'!$A$2:$A$133,B9,'Budget Planning'!$B$2:$B$133,D9),0)</x:f>
        <x:v>5963</x:v>
      </x:c>
      <x:c r="K9" s="3">
        <x:f>IF(H9="Expense",J9-SUMIFS($G$2:G9,$B$2:B9,B9,$D$2:D9,D9,$H$2:H9,"Expense"),0)</x:f>
        <x:v>4436</x:v>
      </x:c>
      <x:c r="L9" t="str">
        <x:f>'Raw Data'!L9</x:f>
        <x:v>Dining out / office lunch</x:v>
      </x:c>
    </x:row>
    <x:row r="10">
      <x:c r="A10" s="2">
        <x:f>'Raw Data'!A10</x:f>
        <x:v>46038</x:v>
      </x:c>
      <x:c r="B10" t="str">
        <x:f>TRIM('Raw Data'!B10)</x:f>
        <x:v>Jan-26</x:v>
      </x:c>
      <x:c r="C10">
        <x:f>TRIM('Raw Data'!C10)</x:f>
      </x:c>
      <x:c r="D10" t="str">
        <x:f>TRIM('Raw Data'!D10)</x:f>
        <x:v>Shopping</x:v>
      </x:c>
      <x:c r="E10" t="str">
        <x:f>TRIM('Raw Data'!E10)</x:f>
        <x:v>Variable</x:v>
      </x:c>
      <x:c r="F10" t="str">
        <x:f>TRIM('Raw Data'!F10)</x:f>
        <x:v>UPI</x:v>
      </x:c>
      <x:c r="G10" s="3">
        <x:f>ABS('Raw Data'!G10)</x:f>
        <x:v>6381</x:v>
      </x:c>
      <x:c r="H10" t="str">
        <x:f>TRIM('Raw Data'!H10)</x:f>
        <x:v>Expense</x:v>
      </x:c>
      <x:c r="I10" s="3">
        <x:f>IF(H10="Income",G10,-G10)</x:f>
        <x:v>-6381</x:v>
      </x:c>
      <x:c r="J10" s="3">
        <x:f>IF(H10="Expense",SUMIFS('Budget Planning'!$C$2:$C$133,'Budget Planning'!$A$2:$A$133,B10,'Budget Planning'!$B$2:$B$133,D10),0)</x:f>
        <x:v>4857</x:v>
      </x:c>
      <x:c r="K10" s="3">
        <x:f>IF(H10="Expense",J10-SUMIFS($G$2:G10,$B$2:B10,B10,$D$2:D10,D10,$H$2:H10,"Expense"),0)</x:f>
        <x:v>-1524</x:v>
      </x:c>
      <x:c r="L10" t="str">
        <x:f>'Raw Data'!L10</x:f>
        <x:v>Apparel / lifestyle purchase</x:v>
      </x:c>
    </x:row>
    <x:row r="11">
      <x:c r="A11" s="2">
        <x:f>'Raw Data'!A11</x:f>
        <x:v>46040</x:v>
      </x:c>
      <x:c r="B11" t="str">
        <x:f>TRIM('Raw Data'!B11)</x:f>
        <x:v>Jan-26</x:v>
      </x:c>
      <x:c r="C11">
        <x:f>TRIM('Raw Data'!C11)</x:f>
      </x:c>
      <x:c r="D11" t="str">
        <x:f>TRIM('Raw Data'!D11)</x:f>
        <x:v>Entertainment</x:v>
      </x:c>
      <x:c r="E11" t="str">
        <x:f>TRIM('Raw Data'!E11)</x:f>
        <x:v>Variable</x:v>
      </x:c>
      <x:c r="F11" t="str">
        <x:f>TRIM('Raw Data'!F11)</x:f>
        <x:v>UPI</x:v>
      </x:c>
      <x:c r="G11" s="3">
        <x:f>ABS('Raw Data'!G11)</x:f>
        <x:v>1688</x:v>
      </x:c>
      <x:c r="H11" t="str">
        <x:f>TRIM('Raw Data'!H11)</x:f>
        <x:v>Expense</x:v>
      </x:c>
      <x:c r="I11" s="3">
        <x:f>IF(H11="Income",G11,-G11)</x:f>
        <x:v>-1688</x:v>
      </x:c>
      <x:c r="J11" s="3">
        <x:f>IF(H11="Expense",SUMIFS('Budget Planning'!$C$2:$C$133,'Budget Planning'!$A$2:$A$133,B11,'Budget Planning'!$B$2:$B$133,D11),0)</x:f>
        <x:v>2609</x:v>
      </x:c>
      <x:c r="K11" s="3">
        <x:f>IF(H11="Expense",J11-SUMIFS($G$2:G11,$B$2:B11,B11,$D$2:D11,D11,$H$2:H11,"Expense"),0)</x:f>
        <x:v>921</x:v>
      </x:c>
      <x:c r="L11" t="str">
        <x:f>'Raw Data'!L11</x:f>
        <x:v>Movies / subscriptions</x:v>
      </x:c>
    </x:row>
    <x:row r="12">
      <x:c r="A12" s="2">
        <x:f>'Raw Data'!A12</x:f>
        <x:v>46043</x:v>
      </x:c>
      <x:c r="B12" t="str">
        <x:f>TRIM('Raw Data'!B12)</x:f>
        <x:v>Jan-26</x:v>
      </x:c>
      <x:c r="C12">
        <x:f>TRIM('Raw Data'!C12)</x:f>
      </x:c>
      <x:c r="D12" t="str">
        <x:f>TRIM('Raw Data'!D12)</x:f>
        <x:v>Groceries</x:v>
      </x:c>
      <x:c r="E12" t="str">
        <x:f>TRIM('Raw Data'!E12)</x:f>
        <x:v>Variable</x:v>
      </x:c>
      <x:c r="F12" t="str">
        <x:f>TRIM('Raw Data'!F12)</x:f>
        <x:v>Cash</x:v>
      </x:c>
      <x:c r="G12" s="3">
        <x:f>ABS('Raw Data'!G12)</x:f>
        <x:v>3113</x:v>
      </x:c>
      <x:c r="H12" t="str">
        <x:f>TRIM('Raw Data'!H12)</x:f>
        <x:v>Expense</x:v>
      </x:c>
      <x:c r="I12" s="3">
        <x:f>IF(H12="Income",G12,-G12)</x:f>
        <x:v>-3113</x:v>
      </x:c>
      <x:c r="J12" s="3">
        <x:f>IF(H12="Expense",SUMIFS('Budget Planning'!$C$2:$C$133,'Budget Planning'!$A$2:$A$133,B12,'Budget Planning'!$B$2:$B$133,D12),0)</x:f>
        <x:v>6451</x:v>
      </x:c>
      <x:c r="K12" s="3">
        <x:f>IF(H12="Expense",J12-SUMIFS($G$2:G12,$B$2:B12,B12,$D$2:D12,D12,$H$2:H12,"Expense"),0)</x:f>
        <x:v>442</x:v>
      </x:c>
      <x:c r="L12" t="str">
        <x:f>'Raw Data'!L12</x:f>
        <x:v>Monthly essentials restock</x:v>
      </x:c>
    </x:row>
    <x:row r="13">
      <x:c r="A13" s="2">
        <x:f>'Raw Data'!A13</x:f>
        <x:v>46044</x:v>
      </x:c>
      <x:c r="B13" t="str">
        <x:f>TRIM('Raw Data'!B13)</x:f>
        <x:v>Jan-26</x:v>
      </x:c>
      <x:c r="C13">
        <x:f>TRIM('Raw Data'!C13)</x:f>
      </x:c>
      <x:c r="D13" t="str">
        <x:f>TRIM('Raw Data'!D13)</x:f>
        <x:v>Healthcare</x:v>
      </x:c>
      <x:c r="E13" t="str">
        <x:f>TRIM('Raw Data'!E13)</x:f>
        <x:v>Variable</x:v>
      </x:c>
      <x:c r="F13" t="str">
        <x:f>TRIM('Raw Data'!F13)</x:f>
        <x:v>UPI</x:v>
      </x:c>
      <x:c r="G13" s="3">
        <x:f>ABS('Raw Data'!G13)</x:f>
        <x:v>1993</x:v>
      </x:c>
      <x:c r="H13" t="str">
        <x:f>TRIM('Raw Data'!H13)</x:f>
        <x:v>Expense</x:v>
      </x:c>
      <x:c r="I13" s="3">
        <x:f>IF(H13="Income",G13,-G13)</x:f>
        <x:v>-1993</x:v>
      </x:c>
      <x:c r="J13" s="3">
        <x:f>IF(H13="Expense",SUMIFS('Budget Planning'!$C$2:$C$133,'Budget Planning'!$A$2:$A$133,B13,'Budget Planning'!$B$2:$B$133,D13),0)</x:f>
        <x:v>3785</x:v>
      </x:c>
      <x:c r="K13" s="3">
        <x:f>IF(H13="Expense",J13-SUMIFS($G$2:G13,$B$2:B13,B13,$D$2:D13,D13,$H$2:H13,"Expense"),0)</x:f>
        <x:v>1792</x:v>
      </x:c>
      <x:c r="L13" t="str">
        <x:f>'Raw Data'!L13</x:f>
        <x:v>Health and wellness spend</x:v>
      </x:c>
    </x:row>
    <x:row r="14">
      <x:c r="A14" s="2">
        <x:f>'Raw Data'!A14</x:f>
        <x:v>46047</x:v>
      </x:c>
      <x:c r="B14" t="str">
        <x:f>TRIM('Raw Data'!B14)</x:f>
        <x:v>Jan-26</x:v>
      </x:c>
      <x:c r="C14">
        <x:f>TRIM('Raw Data'!C14)</x:f>
      </x:c>
      <x:c r="D14" t="str">
        <x:f>TRIM('Raw Data'!D14)</x:f>
        <x:v>Food</x:v>
      </x:c>
      <x:c r="E14" t="str">
        <x:f>TRIM('Raw Data'!E14)</x:f>
        <x:v>Variable</x:v>
      </x:c>
      <x:c r="F14" t="str">
        <x:f>TRIM('Raw Data'!F14)</x:f>
        <x:v>Cash</x:v>
      </x:c>
      <x:c r="G14" s="3">
        <x:f>ABS('Raw Data'!G14)</x:f>
        <x:v>2064</x:v>
      </x:c>
      <x:c r="H14" t="str">
        <x:f>TRIM('Raw Data'!H14)</x:f>
        <x:v>Expense</x:v>
      </x:c>
      <x:c r="I14" s="3">
        <x:f>IF(H14="Income",G14,-G14)</x:f>
        <x:v>-2064</x:v>
      </x:c>
      <x:c r="J14" s="3">
        <x:f>IF(H14="Expense",SUMIFS('Budget Planning'!$C$2:$C$133,'Budget Planning'!$A$2:$A$133,B14,'Budget Planning'!$B$2:$B$133,D14),0)</x:f>
        <x:v>5963</x:v>
      </x:c>
      <x:c r="K14" s="3">
        <x:f>IF(H14="Expense",J14-SUMIFS($G$2:G14,$B$2:B14,B14,$D$2:D14,D14,$H$2:H14,"Expense"),0)</x:f>
        <x:v>2372</x:v>
      </x:c>
      <x:c r="L14" t="str">
        <x:f>'Raw Data'!L14</x:f>
        <x:v>Weekend food order</x:v>
      </x:c>
    </x:row>
    <x:row r="15">
      <x:c r="A15" s="2">
        <x:f>'Raw Data'!A15</x:f>
        <x:v>46049</x:v>
      </x:c>
      <x:c r="B15" t="str">
        <x:f>TRIM('Raw Data'!B15)</x:f>
        <x:v>Jan-26</x:v>
      </x:c>
      <x:c r="C15">
        <x:f>TRIM('Raw Data'!C15)</x:f>
      </x:c>
      <x:c r="D15" t="str">
        <x:f>TRIM('Raw Data'!D15)</x:f>
        <x:v>Travel</x:v>
      </x:c>
      <x:c r="E15" t="str">
        <x:f>TRIM('Raw Data'!E15)</x:f>
        <x:v>Variable</x:v>
      </x:c>
      <x:c r="F15" t="str">
        <x:f>TRIM('Raw Data'!F15)</x:f>
        <x:v>Cash</x:v>
      </x:c>
      <x:c r="G15" s="3">
        <x:f>ABS('Raw Data'!G15)</x:f>
        <x:v>3859</x:v>
      </x:c>
      <x:c r="H15" t="str">
        <x:f>TRIM('Raw Data'!H15)</x:f>
        <x:v>Expense</x:v>
      </x:c>
      <x:c r="I15" s="3">
        <x:f>IF(H15="Income",G15,-G15)</x:f>
        <x:v>-3859</x:v>
      </x:c>
      <x:c r="J15" s="3">
        <x:f>IF(H15="Expense",SUMIFS('Budget Planning'!$C$2:$C$133,'Budget Planning'!$A$2:$A$133,B15,'Budget Planning'!$B$2:$B$133,D15),0)</x:f>
        <x:v>4185</x:v>
      </x:c>
      <x:c r="K15" s="3">
        <x:f>IF(H15="Expense",J15-SUMIFS($G$2:G15,$B$2:B15,B15,$D$2:D15,D15,$H$2:H15,"Expense"),0)</x:f>
        <x:v>326</x:v>
      </x:c>
      <x:c r="L15" t="str">
        <x:f>'Raw Data'!L15</x:f>
        <x:v>Cab / fuel / local travel</x:v>
      </x:c>
    </x:row>
    <x:row r="16">
      <x:c r="A16" s="2">
        <x:f>'Raw Data'!A16</x:f>
        <x:v>46054</x:v>
      </x:c>
      <x:c r="B16" t="str">
        <x:f>TRIM('Raw Data'!B16)</x:f>
        <x:v>Feb-26</x:v>
      </x:c>
      <x:c r="C16" t="str">
        <x:f>TRIM('Raw Data'!C16)</x:f>
        <x:v>Salary</x:v>
      </x:c>
      <x:c r="D16">
        <x:f>TRIM('Raw Data'!D16)</x:f>
      </x:c>
      <x:c r="E16" t="str">
        <x:f>TRIM('Raw Data'!E16)</x:f>
        <x:v>N/A</x:v>
      </x:c>
      <x:c r="F16" t="str">
        <x:f>TRIM('Raw Data'!F16)</x:f>
        <x:v>Bank Transfer</x:v>
      </x:c>
      <x:c r="G16" s="3">
        <x:f>ABS('Raw Data'!G16)</x:f>
        <x:v>92904</x:v>
      </x:c>
      <x:c r="H16" t="str">
        <x:f>TRIM('Raw Data'!H16)</x:f>
        <x:v>Income</x:v>
      </x:c>
      <x:c r="I16" s="3">
        <x:f>IF(H16="Income",G16,-G16)</x:f>
        <x:v>92904</x:v>
      </x:c>
      <x:c r="J16" s="3">
        <x:f>IF(H16="Expense",SUMIFS('Budget Planning'!$C$2:$C$133,'Budget Planning'!$A$2:$A$133,B16,'Budget Planning'!$B$2:$B$133,D16),0)</x:f>
        <x:v>0</x:v>
      </x:c>
      <x:c r="K16" s="3">
        <x:f>IF(H16="Expense",J16-SUMIFS($G$2:G16,$B$2:B16,B16,$D$2:D16,D16,$H$2:H16,"Expense"),0)</x:f>
        <x:v>0</x:v>
      </x:c>
      <x:c r="L16" t="str">
        <x:f>'Raw Data'!L16</x:f>
        <x:v>Monthly salary credited</x:v>
      </x:c>
    </x:row>
    <x:row r="17">
      <x:c r="A17" s="2">
        <x:f>'Raw Data'!A17</x:f>
        <x:v>46055</x:v>
      </x:c>
      <x:c r="B17" t="str">
        <x:f>TRIM('Raw Data'!B17)</x:f>
        <x:v>Feb-26</x:v>
      </x:c>
      <x:c r="C17">
        <x:f>TRIM('Raw Data'!C17)</x:f>
      </x:c>
      <x:c r="D17" t="str">
        <x:f>TRIM('Raw Data'!D17)</x:f>
        <x:v>Rent</x:v>
      </x:c>
      <x:c r="E17" t="str">
        <x:f>TRIM('Raw Data'!E17)</x:f>
        <x:v>Fixed</x:v>
      </x:c>
      <x:c r="F17" t="str">
        <x:f>TRIM('Raw Data'!F17)</x:f>
        <x:v>Bank Transfer</x:v>
      </x:c>
      <x:c r="G17" s="3">
        <x:f>ABS('Raw Data'!G17)</x:f>
        <x:v>28000</x:v>
      </x:c>
      <x:c r="H17" t="str">
        <x:f>TRIM('Raw Data'!H17)</x:f>
        <x:v>Expense</x:v>
      </x:c>
      <x:c r="I17" s="3">
        <x:f>IF(H17="Income",G17,-G17)</x:f>
        <x:v>-28000</x:v>
      </x:c>
      <x:c r="J17" s="3">
        <x:f>IF(H17="Expense",SUMIFS('Budget Planning'!$C$2:$C$133,'Budget Planning'!$A$2:$A$133,B17,'Budget Planning'!$B$2:$B$133,D17),0)</x:f>
        <x:v>28000</x:v>
      </x:c>
      <x:c r="K17" s="3">
        <x:f>IF(H17="Expense",J17-SUMIFS($G$2:G17,$B$2:B17,B17,$D$2:D17,D17,$H$2:H17,"Expense"),0)</x:f>
        <x:v>0</x:v>
      </x:c>
      <x:c r="L17" t="str">
        <x:f>'Raw Data'!L17</x:f>
        <x:v>House rent payment</x:v>
      </x:c>
    </x:row>
    <x:row r="18">
      <x:c r="A18" s="2">
        <x:f>'Raw Data'!A18</x:f>
        <x:v>46058</x:v>
      </x:c>
      <x:c r="B18" t="str">
        <x:f>TRIM('Raw Data'!B18)</x:f>
        <x:v>Feb-26</x:v>
      </x:c>
      <x:c r="C18">
        <x:f>TRIM('Raw Data'!C18)</x:f>
      </x:c>
      <x:c r="D18" t="str">
        <x:f>TRIM('Raw Data'!D18)</x:f>
        <x:v>EMI</x:v>
      </x:c>
      <x:c r="E18" t="str">
        <x:f>TRIM('Raw Data'!E18)</x:f>
        <x:v>Fixed</x:v>
      </x:c>
      <x:c r="F18" t="str">
        <x:f>TRIM('Raw Data'!F18)</x:f>
        <x:v>Bank Transfer</x:v>
      </x:c>
      <x:c r="G18" s="3">
        <x:f>ABS('Raw Data'!G18)</x:f>
        <x:v>9000</x:v>
      </x:c>
      <x:c r="H18" t="str">
        <x:f>TRIM('Raw Data'!H18)</x:f>
        <x:v>Expense</x:v>
      </x:c>
      <x:c r="I18" s="3">
        <x:f>IF(H18="Income",G18,-G18)</x:f>
        <x:v>-9000</x:v>
      </x:c>
      <x:c r="J18" s="3">
        <x:f>IF(H18="Expense",SUMIFS('Budget Planning'!$C$2:$C$133,'Budget Planning'!$A$2:$A$133,B18,'Budget Planning'!$B$2:$B$133,D18),0)</x:f>
        <x:v>9000</x:v>
      </x:c>
      <x:c r="K18" s="3">
        <x:f>IF(H18="Expense",J18-SUMIFS($G$2:G18,$B$2:B18,B18,$D$2:D18,D18,$H$2:H18,"Expense"),0)</x:f>
        <x:v>0</x:v>
      </x:c>
      <x:c r="L18" t="str">
        <x:f>'Raw Data'!L18</x:f>
        <x:v>Personal loan EMI</x:v>
      </x:c>
    </x:row>
    <x:row r="19">
      <x:c r="A19" s="2">
        <x:f>'Raw Data'!A19</x:f>
        <x:v>46060</x:v>
      </x:c>
      <x:c r="B19" t="str">
        <x:f>TRIM('Raw Data'!B19)</x:f>
        <x:v>Feb-26</x:v>
      </x:c>
      <x:c r="C19">
        <x:f>TRIM('Raw Data'!C19)</x:f>
      </x:c>
      <x:c r="D19" t="str">
        <x:f>TRIM('Raw Data'!D19)</x:f>
        <x:v>Groceries</x:v>
      </x:c>
      <x:c r="E19" t="str">
        <x:f>TRIM('Raw Data'!E19)</x:f>
        <x:v>Variable</x:v>
      </x:c>
      <x:c r="F19" t="str">
        <x:f>TRIM('Raw Data'!F19)</x:f>
        <x:v>Credit Card</x:v>
      </x:c>
      <x:c r="G19" s="3">
        <x:f>ABS('Raw Data'!G19)</x:f>
        <x:v>3401</x:v>
      </x:c>
      <x:c r="H19" t="str">
        <x:f>TRIM('Raw Data'!H19)</x:f>
        <x:v>Expense</x:v>
      </x:c>
      <x:c r="I19" s="3">
        <x:f>IF(H19="Income",G19,-G19)</x:f>
        <x:v>-3401</x:v>
      </x:c>
      <x:c r="J19" s="3">
        <x:f>IF(H19="Expense",SUMIFS('Budget Planning'!$C$2:$C$133,'Budget Planning'!$A$2:$A$133,B19,'Budget Planning'!$B$2:$B$133,D19),0)</x:f>
        <x:v>6465</x:v>
      </x:c>
      <x:c r="K19" s="3">
        <x:f>IF(H19="Expense",J19-SUMIFS($G$2:G19,$B$2:B19,B19,$D$2:D19,D19,$H$2:H19,"Expense"),0)</x:f>
        <x:v>3064</x:v>
      </x:c>
      <x:c r="L19" t="str">
        <x:f>'Raw Data'!L19</x:f>
        <x:v>Supermarket groceries</x:v>
      </x:c>
    </x:row>
    <x:row r="20">
      <x:c r="A20" s="2">
        <x:f>'Raw Data'!A20</x:f>
        <x:v>46061</x:v>
      </x:c>
      <x:c r="B20" t="str">
        <x:f>TRIM('Raw Data'!B20)</x:f>
        <x:v>Feb-26</x:v>
      </x:c>
      <x:c r="C20">
        <x:f>TRIM('Raw Data'!C20)</x:f>
      </x:c>
      <x:c r="D20" t="str">
        <x:f>TRIM('Raw Data'!D20)</x:f>
        <x:v>Utilities</x:v>
      </x:c>
      <x:c r="E20" t="str">
        <x:f>TRIM('Raw Data'!E20)</x:f>
        <x:v>Fixed</x:v>
      </x:c>
      <x:c r="F20" t="str">
        <x:f>TRIM('Raw Data'!F20)</x:f>
        <x:v>Bank Transfer</x:v>
      </x:c>
      <x:c r="G20" s="3">
        <x:f>ABS('Raw Data'!G20)</x:f>
        <x:v>2387</x:v>
      </x:c>
      <x:c r="H20" t="str">
        <x:f>TRIM('Raw Data'!H20)</x:f>
        <x:v>Expense</x:v>
      </x:c>
      <x:c r="I20" s="3">
        <x:f>IF(H20="Income",G20,-G20)</x:f>
        <x:v>-2387</x:v>
      </x:c>
      <x:c r="J20" s="3">
        <x:f>IF(H20="Expense",SUMIFS('Budget Planning'!$C$2:$C$133,'Budget Planning'!$A$2:$A$133,B20,'Budget Planning'!$B$2:$B$133,D20),0)</x:f>
        <x:v>3591</x:v>
      </x:c>
      <x:c r="K20" s="3">
        <x:f>IF(H20="Expense",J20-SUMIFS($G$2:G20,$B$2:B20,B20,$D$2:D20,D20,$H$2:H20,"Expense"),0)</x:f>
        <x:v>1204</x:v>
      </x:c>
      <x:c r="L20" t="str">
        <x:f>'Raw Data'!L20</x:f>
        <x:v>Electricity bill</x:v>
      </x:c>
    </x:row>
    <x:row r="21">
      <x:c r="A21" s="2">
        <x:f>'Raw Data'!A21</x:f>
        <x:v>46064</x:v>
      </x:c>
      <x:c r="B21" t="str">
        <x:f>TRIM('Raw Data'!B21)</x:f>
        <x:v>Feb-26</x:v>
      </x:c>
      <x:c r="C21">
        <x:f>TRIM('Raw Data'!C21)</x:f>
      </x:c>
      <x:c r="D21" t="str">
        <x:f>TRIM('Raw Data'!D21)</x:f>
        <x:v>Utilities</x:v>
      </x:c>
      <x:c r="E21" t="str">
        <x:f>TRIM('Raw Data'!E21)</x:f>
        <x:v>Fixed</x:v>
      </x:c>
      <x:c r="F21" t="str">
        <x:f>TRIM('Raw Data'!F21)</x:f>
        <x:v>UPI</x:v>
      </x:c>
      <x:c r="G21" s="3">
        <x:f>ABS('Raw Data'!G21)</x:f>
        <x:v>1856</x:v>
      </x:c>
      <x:c r="H21" t="str">
        <x:f>TRIM('Raw Data'!H21)</x:f>
        <x:v>Expense</x:v>
      </x:c>
      <x:c r="I21" s="3">
        <x:f>IF(H21="Income",G21,-G21)</x:f>
        <x:v>-1856</x:v>
      </x:c>
      <x:c r="J21" s="3">
        <x:f>IF(H21="Expense",SUMIFS('Budget Planning'!$C$2:$C$133,'Budget Planning'!$A$2:$A$133,B21,'Budget Planning'!$B$2:$B$133,D21),0)</x:f>
        <x:v>3591</x:v>
      </x:c>
      <x:c r="K21" s="3">
        <x:f>IF(H21="Expense",J21-SUMIFS($G$2:G21,$B$2:B21,B21,$D$2:D21,D21,$H$2:H21,"Expense"),0)</x:f>
        <x:v>-652</x:v>
      </x:c>
      <x:c r="L21" t="str">
        <x:f>'Raw Data'!L21</x:f>
        <x:v>Internet / mobile bill</x:v>
      </x:c>
    </x:row>
    <x:row r="22">
      <x:c r="A22" s="2">
        <x:f>'Raw Data'!A22</x:f>
        <x:v>46065</x:v>
      </x:c>
      <x:c r="B22" t="str">
        <x:f>TRIM('Raw Data'!B22)</x:f>
        <x:v>Feb-26</x:v>
      </x:c>
      <x:c r="C22">
        <x:f>TRIM('Raw Data'!C22)</x:f>
      </x:c>
      <x:c r="D22" t="str">
        <x:f>TRIM('Raw Data'!D22)</x:f>
        <x:v>Food</x:v>
      </x:c>
      <x:c r="E22" t="str">
        <x:f>TRIM('Raw Data'!E22)</x:f>
        <x:v>Variable</x:v>
      </x:c>
      <x:c r="F22" t="str">
        <x:f>TRIM('Raw Data'!F22)</x:f>
        <x:v>Cash</x:v>
      </x:c>
      <x:c r="G22" s="3">
        <x:f>ABS('Raw Data'!G22)</x:f>
        <x:v>1206</x:v>
      </x:c>
      <x:c r="H22" t="str">
        <x:f>TRIM('Raw Data'!H22)</x:f>
        <x:v>Expense</x:v>
      </x:c>
      <x:c r="I22" s="3">
        <x:f>IF(H22="Income",G22,-G22)</x:f>
        <x:v>-1206</x:v>
      </x:c>
      <x:c r="J22" s="3">
        <x:f>IF(H22="Expense",SUMIFS('Budget Planning'!$C$2:$C$133,'Budget Planning'!$A$2:$A$133,B22,'Budget Planning'!$B$2:$B$133,D22),0)</x:f>
        <x:v>5461</x:v>
      </x:c>
      <x:c r="K22" s="3">
        <x:f>IF(H22="Expense",J22-SUMIFS($G$2:G22,$B$2:B22,B22,$D$2:D22,D22,$H$2:H22,"Expense"),0)</x:f>
        <x:v>4255</x:v>
      </x:c>
      <x:c r="L22" t="str">
        <x:f>'Raw Data'!L22</x:f>
        <x:v>Dining out / office lunch</x:v>
      </x:c>
    </x:row>
    <x:row r="23">
      <x:c r="A23" s="2">
        <x:f>'Raw Data'!A23</x:f>
        <x:v>46069</x:v>
      </x:c>
      <x:c r="B23" t="str">
        <x:f>TRIM('Raw Data'!B23)</x:f>
        <x:v>Feb-26</x:v>
      </x:c>
      <x:c r="C23">
        <x:f>TRIM('Raw Data'!C23)</x:f>
      </x:c>
      <x:c r="D23" t="str">
        <x:f>TRIM('Raw Data'!D23)</x:f>
        <x:v>Shopping</x:v>
      </x:c>
      <x:c r="E23" t="str">
        <x:f>TRIM('Raw Data'!E23)</x:f>
        <x:v>Variable</x:v>
      </x:c>
      <x:c r="F23" t="str">
        <x:f>TRIM('Raw Data'!F23)</x:f>
        <x:v>Credit Card</x:v>
      </x:c>
      <x:c r="G23" s="3">
        <x:f>ABS('Raw Data'!G23)</x:f>
        <x:v>5658</x:v>
      </x:c>
      <x:c r="H23" t="str">
        <x:f>TRIM('Raw Data'!H23)</x:f>
        <x:v>Expense</x:v>
      </x:c>
      <x:c r="I23" s="3">
        <x:f>IF(H23="Income",G23,-G23)</x:f>
        <x:v>-5658</x:v>
      </x:c>
      <x:c r="J23" s="3">
        <x:f>IF(H23="Expense",SUMIFS('Budget Planning'!$C$2:$C$133,'Budget Planning'!$A$2:$A$133,B23,'Budget Planning'!$B$2:$B$133,D23),0)</x:f>
        <x:v>4847</x:v>
      </x:c>
      <x:c r="K23" s="3">
        <x:f>IF(H23="Expense",J23-SUMIFS($G$2:G23,$B$2:B23,B23,$D$2:D23,D23,$H$2:H23,"Expense"),0)</x:f>
        <x:v>-811</x:v>
      </x:c>
      <x:c r="L23" t="str">
        <x:f>'Raw Data'!L23</x:f>
        <x:v>Apparel / lifestyle purchase</x:v>
      </x:c>
    </x:row>
    <x:row r="24">
      <x:c r="A24" s="2">
        <x:f>'Raw Data'!A24</x:f>
        <x:v>46071</x:v>
      </x:c>
      <x:c r="B24" t="str">
        <x:f>TRIM('Raw Data'!B24)</x:f>
        <x:v>Feb-26</x:v>
      </x:c>
      <x:c r="C24">
        <x:f>TRIM('Raw Data'!C24)</x:f>
      </x:c>
      <x:c r="D24" t="str">
        <x:f>TRIM('Raw Data'!D24)</x:f>
        <x:v>Entertainment</x:v>
      </x:c>
      <x:c r="E24" t="str">
        <x:f>TRIM('Raw Data'!E24)</x:f>
        <x:v>Variable</x:v>
      </x:c>
      <x:c r="F24" t="str">
        <x:f>TRIM('Raw Data'!F24)</x:f>
        <x:v>Cash</x:v>
      </x:c>
      <x:c r="G24" s="3">
        <x:f>ABS('Raw Data'!G24)</x:f>
        <x:v>2460</x:v>
      </x:c>
      <x:c r="H24" t="str">
        <x:f>TRIM('Raw Data'!H24)</x:f>
        <x:v>Expense</x:v>
      </x:c>
      <x:c r="I24" s="3">
        <x:f>IF(H24="Income",G24,-G24)</x:f>
        <x:v>-2460</x:v>
      </x:c>
      <x:c r="J24" s="3">
        <x:f>IF(H24="Expense",SUMIFS('Budget Planning'!$C$2:$C$133,'Budget Planning'!$A$2:$A$133,B24,'Budget Planning'!$B$2:$B$133,D24),0)</x:f>
        <x:v>3434</x:v>
      </x:c>
      <x:c r="K24" s="3">
        <x:f>IF(H24="Expense",J24-SUMIFS($G$2:G24,$B$2:B24,B24,$D$2:D24,D24,$H$2:H24,"Expense"),0)</x:f>
        <x:v>974</x:v>
      </x:c>
      <x:c r="L24" t="str">
        <x:f>'Raw Data'!L24</x:f>
        <x:v>Movies / subscriptions</x:v>
      </x:c>
    </x:row>
    <x:row r="25">
      <x:c r="A25" s="2">
        <x:f>'Raw Data'!A25</x:f>
        <x:v>46074</x:v>
      </x:c>
      <x:c r="B25" t="str">
        <x:f>TRIM('Raw Data'!B25)</x:f>
        <x:v>Feb-26</x:v>
      </x:c>
      <x:c r="C25">
        <x:f>TRIM('Raw Data'!C25)</x:f>
      </x:c>
      <x:c r="D25" t="str">
        <x:f>TRIM('Raw Data'!D25)</x:f>
        <x:v>Groceries</x:v>
      </x:c>
      <x:c r="E25" t="str">
        <x:f>TRIM('Raw Data'!E25)</x:f>
        <x:v>Variable</x:v>
      </x:c>
      <x:c r="F25" t="str">
        <x:f>TRIM('Raw Data'!F25)</x:f>
        <x:v>Credit Card</x:v>
      </x:c>
      <x:c r="G25" s="3">
        <x:f>ABS('Raw Data'!G25)</x:f>
        <x:v>3123</x:v>
      </x:c>
      <x:c r="H25" t="str">
        <x:f>TRIM('Raw Data'!H25)</x:f>
        <x:v>Expense</x:v>
      </x:c>
      <x:c r="I25" s="3">
        <x:f>IF(H25="Income",G25,-G25)</x:f>
        <x:v>-3123</x:v>
      </x:c>
      <x:c r="J25" s="3">
        <x:f>IF(H25="Expense",SUMIFS('Budget Planning'!$C$2:$C$133,'Budget Planning'!$A$2:$A$133,B25,'Budget Planning'!$B$2:$B$133,D25),0)</x:f>
        <x:v>6465</x:v>
      </x:c>
      <x:c r="K25" s="3">
        <x:f>IF(H25="Expense",J25-SUMIFS($G$2:G25,$B$2:B25,B25,$D$2:D25,D25,$H$2:H25,"Expense"),0)</x:f>
        <x:v>-59</x:v>
      </x:c>
      <x:c r="L25" t="str">
        <x:f>'Raw Data'!L25</x:f>
        <x:v>Monthly essentials restock</x:v>
      </x:c>
    </x:row>
    <x:row r="26">
      <x:c r="A26" s="2">
        <x:f>'Raw Data'!A26</x:f>
        <x:v>46078</x:v>
      </x:c>
      <x:c r="B26" t="str">
        <x:f>TRIM('Raw Data'!B26)</x:f>
        <x:v>Feb-26</x:v>
      </x:c>
      <x:c r="C26" t="str">
        <x:f>TRIM('Raw Data'!C26)</x:f>
        <x:v>Freelance</x:v>
      </x:c>
      <x:c r="D26">
        <x:f>TRIM('Raw Data'!D26)</x:f>
      </x:c>
      <x:c r="E26" t="str">
        <x:f>TRIM('Raw Data'!E26)</x:f>
        <x:v>N/A</x:v>
      </x:c>
      <x:c r="F26" t="str">
        <x:f>TRIM('Raw Data'!F26)</x:f>
        <x:v>Bank Transfer</x:v>
      </x:c>
      <x:c r="G26" s="3">
        <x:f>ABS('Raw Data'!G26)</x:f>
        <x:v>13876</x:v>
      </x:c>
      <x:c r="H26" t="str">
        <x:f>TRIM('Raw Data'!H26)</x:f>
        <x:v>Income</x:v>
      </x:c>
      <x:c r="I26" s="3">
        <x:f>IF(H26="Income",G26,-G26)</x:f>
        <x:v>13876</x:v>
      </x:c>
      <x:c r="J26" s="3">
        <x:f>IF(H26="Expense",SUMIFS('Budget Planning'!$C$2:$C$133,'Budget Planning'!$A$2:$A$133,B26,'Budget Planning'!$B$2:$B$133,D26),0)</x:f>
        <x:v>0</x:v>
      </x:c>
      <x:c r="K26" s="3">
        <x:f>IF(H26="Expense",J26-SUMIFS($G$2:G26,$B$2:B26,B26,$D$2:D26,D26,$H$2:H26,"Expense"),0)</x:f>
        <x:v>0</x:v>
      </x:c>
      <x:c r="L26" t="str">
        <x:f>'Raw Data'!L26</x:f>
        <x:v>Freelance project payment</x:v>
      </x:c>
    </x:row>
    <x:row r="27">
      <x:c r="A27" s="2">
        <x:f>'Raw Data'!A27</x:f>
        <x:v>46078</x:v>
      </x:c>
      <x:c r="B27" t="str">
        <x:f>TRIM('Raw Data'!B27)</x:f>
        <x:v>Feb-26</x:v>
      </x:c>
      <x:c r="C27">
        <x:f>TRIM('Raw Data'!C27)</x:f>
      </x:c>
      <x:c r="D27" t="str">
        <x:f>TRIM('Raw Data'!D27)</x:f>
        <x:v>Food</x:v>
      </x:c>
      <x:c r="E27" t="str">
        <x:f>TRIM('Raw Data'!E27)</x:f>
        <x:v>Variable</x:v>
      </x:c>
      <x:c r="F27" t="str">
        <x:f>TRIM('Raw Data'!F27)</x:f>
        <x:v>Credit Card</x:v>
      </x:c>
      <x:c r="G27" s="3">
        <x:f>ABS('Raw Data'!G27)</x:f>
        <x:v>2673</x:v>
      </x:c>
      <x:c r="H27" t="str">
        <x:f>TRIM('Raw Data'!H27)</x:f>
        <x:v>Expense</x:v>
      </x:c>
      <x:c r="I27" s="3">
        <x:f>IF(H27="Income",G27,-G27)</x:f>
        <x:v>-2673</x:v>
      </x:c>
      <x:c r="J27" s="3">
        <x:f>IF(H27="Expense",SUMIFS('Budget Planning'!$C$2:$C$133,'Budget Planning'!$A$2:$A$133,B27,'Budget Planning'!$B$2:$B$133,D27),0)</x:f>
        <x:v>5461</x:v>
      </x:c>
      <x:c r="K27" s="3">
        <x:f>IF(H27="Expense",J27-SUMIFS($G$2:G27,$B$2:B27,B27,$D$2:D27,D27,$H$2:H27,"Expense"),0)</x:f>
        <x:v>1582</x:v>
      </x:c>
      <x:c r="L27" t="str">
        <x:f>'Raw Data'!L27</x:f>
        <x:v>Weekend food order</x:v>
      </x:c>
    </x:row>
    <x:row r="28">
      <x:c r="A28" s="2">
        <x:f>'Raw Data'!A28</x:f>
        <x:v>46079</x:v>
      </x:c>
      <x:c r="B28" t="str">
        <x:f>TRIM('Raw Data'!B28)</x:f>
        <x:v>Feb-26</x:v>
      </x:c>
      <x:c r="C28">
        <x:f>TRIM('Raw Data'!C28)</x:f>
      </x:c>
      <x:c r="D28" t="str">
        <x:f>TRIM('Raw Data'!D28)</x:f>
        <x:v>Education</x:v>
      </x:c>
      <x:c r="E28" t="str">
        <x:f>TRIM('Raw Data'!E28)</x:f>
        <x:v>Variable</x:v>
      </x:c>
      <x:c r="F28" t="str">
        <x:f>TRIM('Raw Data'!F28)</x:f>
        <x:v>Bank Transfer</x:v>
      </x:c>
      <x:c r="G28" s="3">
        <x:f>ABS('Raw Data'!G28)</x:f>
        <x:v>3022</x:v>
      </x:c>
      <x:c r="H28" t="str">
        <x:f>TRIM('Raw Data'!H28)</x:f>
        <x:v>Expense</x:v>
      </x:c>
      <x:c r="I28" s="3">
        <x:f>IF(H28="Income",G28,-G28)</x:f>
        <x:v>-3022</x:v>
      </x:c>
      <x:c r="J28" s="3">
        <x:f>IF(H28="Expense",SUMIFS('Budget Planning'!$C$2:$C$133,'Budget Planning'!$A$2:$A$133,B28,'Budget Planning'!$B$2:$B$133,D28),0)</x:f>
        <x:v>3049</x:v>
      </x:c>
      <x:c r="K28" s="3">
        <x:f>IF(H28="Expense",J28-SUMIFS($G$2:G28,$B$2:B28,B28,$D$2:D28,D28,$H$2:H28,"Expense"),0)</x:f>
        <x:v>27</x:v>
      </x:c>
      <x:c r="L28" t="str">
        <x:f>'Raw Data'!L28</x:f>
        <x:v>Course / books / certification</x:v>
      </x:c>
    </x:row>
    <x:row r="29">
      <x:c r="A29" s="2">
        <x:f>'Raw Data'!A29</x:f>
        <x:v>46081</x:v>
      </x:c>
      <x:c r="B29" t="str">
        <x:f>TRIM('Raw Data'!B29)</x:f>
        <x:v>Feb-26</x:v>
      </x:c>
      <x:c r="C29">
        <x:f>TRIM('Raw Data'!C29)</x:f>
      </x:c>
      <x:c r="D29" t="str">
        <x:f>TRIM('Raw Data'!D29)</x:f>
        <x:v>Healthcare</x:v>
      </x:c>
      <x:c r="E29" t="str">
        <x:f>TRIM('Raw Data'!E29)</x:f>
        <x:v>Variable</x:v>
      </x:c>
      <x:c r="F29" t="str">
        <x:f>TRIM('Raw Data'!F29)</x:f>
        <x:v>UPI</x:v>
      </x:c>
      <x:c r="G29" s="3">
        <x:f>ABS('Raw Data'!G29)</x:f>
        <x:v>4765</x:v>
      </x:c>
      <x:c r="H29" t="str">
        <x:f>TRIM('Raw Data'!H29)</x:f>
        <x:v>Expense</x:v>
      </x:c>
      <x:c r="I29" s="3">
        <x:f>IF(H29="Income",G29,-G29)</x:f>
        <x:v>-4765</x:v>
      </x:c>
      <x:c r="J29" s="3">
        <x:f>IF(H29="Expense",SUMIFS('Budget Planning'!$C$2:$C$133,'Budget Planning'!$A$2:$A$133,B29,'Budget Planning'!$B$2:$B$133,D29),0)</x:f>
        <x:v>3632</x:v>
      </x:c>
      <x:c r="K29" s="3">
        <x:f>IF(H29="Expense",J29-SUMIFS($G$2:G29,$B$2:B29,B29,$D$2:D29,D29,$H$2:H29,"Expense"),0)</x:f>
        <x:v>-1133</x:v>
      </x:c>
      <x:c r="L29" t="str">
        <x:f>'Raw Data'!L29</x:f>
        <x:v>Medicines / doctor consultation</x:v>
      </x:c>
    </x:row>
    <x:row r="30">
      <x:c r="A30" s="2">
        <x:f>'Raw Data'!A30</x:f>
        <x:v>46082</x:v>
      </x:c>
      <x:c r="B30" t="str">
        <x:f>TRIM('Raw Data'!B30)</x:f>
        <x:v>Mar-26</x:v>
      </x:c>
      <x:c r="C30" t="str">
        <x:f>TRIM('Raw Data'!C30)</x:f>
        <x:v>Salary</x:v>
      </x:c>
      <x:c r="D30">
        <x:f>TRIM('Raw Data'!D30)</x:f>
      </x:c>
      <x:c r="E30" t="str">
        <x:f>TRIM('Raw Data'!E30)</x:f>
        <x:v>N/A</x:v>
      </x:c>
      <x:c r="F30" t="str">
        <x:f>TRIM('Raw Data'!F30)</x:f>
        <x:v>Bank Transfer</x:v>
      </x:c>
      <x:c r="G30" s="3">
        <x:f>ABS('Raw Data'!G30)</x:f>
        <x:v>93894</x:v>
      </x:c>
      <x:c r="H30" t="str">
        <x:f>TRIM('Raw Data'!H30)</x:f>
        <x:v>Income</x:v>
      </x:c>
      <x:c r="I30" s="3">
        <x:f>IF(H30="Income",G30,-G30)</x:f>
        <x:v>93894</x:v>
      </x:c>
      <x:c r="J30" s="3">
        <x:f>IF(H30="Expense",SUMIFS('Budget Planning'!$C$2:$C$133,'Budget Planning'!$A$2:$A$133,B30,'Budget Planning'!$B$2:$B$133,D30),0)</x:f>
        <x:v>0</x:v>
      </x:c>
      <x:c r="K30" s="3">
        <x:f>IF(H30="Expense",J30-SUMIFS($G$2:G30,$B$2:B30,B30,$D$2:D30,D30,$H$2:H30,"Expense"),0)</x:f>
        <x:v>0</x:v>
      </x:c>
      <x:c r="L30" t="str">
        <x:f>'Raw Data'!L30</x:f>
        <x:v>Monthly salary credited</x:v>
      </x:c>
    </x:row>
    <x:row r="31">
      <x:c r="A31" s="2">
        <x:f>'Raw Data'!A31</x:f>
        <x:v>46083</x:v>
      </x:c>
      <x:c r="B31" t="str">
        <x:f>TRIM('Raw Data'!B31)</x:f>
        <x:v>Mar-26</x:v>
      </x:c>
      <x:c r="C31">
        <x:f>TRIM('Raw Data'!C31)</x:f>
      </x:c>
      <x:c r="D31" t="str">
        <x:f>TRIM('Raw Data'!D31)</x:f>
        <x:v>Rent</x:v>
      </x:c>
      <x:c r="E31" t="str">
        <x:f>TRIM('Raw Data'!E31)</x:f>
        <x:v>Fixed</x:v>
      </x:c>
      <x:c r="F31" t="str">
        <x:f>TRIM('Raw Data'!F31)</x:f>
        <x:v>Bank Transfer</x:v>
      </x:c>
      <x:c r="G31" s="3">
        <x:f>ABS('Raw Data'!G31)</x:f>
        <x:v>28000</x:v>
      </x:c>
      <x:c r="H31" t="str">
        <x:f>TRIM('Raw Data'!H31)</x:f>
        <x:v>Expense</x:v>
      </x:c>
      <x:c r="I31" s="3">
        <x:f>IF(H31="Income",G31,-G31)</x:f>
        <x:v>-28000</x:v>
      </x:c>
      <x:c r="J31" s="3">
        <x:f>IF(H31="Expense",SUMIFS('Budget Planning'!$C$2:$C$133,'Budget Planning'!$A$2:$A$133,B31,'Budget Planning'!$B$2:$B$133,D31),0)</x:f>
        <x:v>28000</x:v>
      </x:c>
      <x:c r="K31" s="3">
        <x:f>IF(H31="Expense",J31-SUMIFS($G$2:G31,$B$2:B31,B31,$D$2:D31,D31,$H$2:H31,"Expense"),0)</x:f>
        <x:v>0</x:v>
      </x:c>
      <x:c r="L31" t="str">
        <x:f>'Raw Data'!L31</x:f>
        <x:v>House rent payment</x:v>
      </x:c>
    </x:row>
    <x:row r="32">
      <x:c r="A32" s="2">
        <x:f>'Raw Data'!A32</x:f>
        <x:v>46086</x:v>
      </x:c>
      <x:c r="B32" t="str">
        <x:f>TRIM('Raw Data'!B32)</x:f>
        <x:v>Mar-26</x:v>
      </x:c>
      <x:c r="C32">
        <x:f>TRIM('Raw Data'!C32)</x:f>
      </x:c>
      <x:c r="D32" t="str">
        <x:f>TRIM('Raw Data'!D32)</x:f>
        <x:v>EMI</x:v>
      </x:c>
      <x:c r="E32" t="str">
        <x:f>TRIM('Raw Data'!E32)</x:f>
        <x:v>Fixed</x:v>
      </x:c>
      <x:c r="F32" t="str">
        <x:f>TRIM('Raw Data'!F32)</x:f>
        <x:v>Bank Transfer</x:v>
      </x:c>
      <x:c r="G32" s="3">
        <x:f>ABS('Raw Data'!G32)</x:f>
        <x:v>9000</x:v>
      </x:c>
      <x:c r="H32" t="str">
        <x:f>TRIM('Raw Data'!H32)</x:f>
        <x:v>Expense</x:v>
      </x:c>
      <x:c r="I32" s="3">
        <x:f>IF(H32="Income",G32,-G32)</x:f>
        <x:v>-9000</x:v>
      </x:c>
      <x:c r="J32" s="3">
        <x:f>IF(H32="Expense",SUMIFS('Budget Planning'!$C$2:$C$133,'Budget Planning'!$A$2:$A$133,B32,'Budget Planning'!$B$2:$B$133,D32),0)</x:f>
        <x:v>9000</x:v>
      </x:c>
      <x:c r="K32" s="3">
        <x:f>IF(H32="Expense",J32-SUMIFS($G$2:G32,$B$2:B32,B32,$D$2:D32,D32,$H$2:H32,"Expense"),0)</x:f>
        <x:v>0</x:v>
      </x:c>
      <x:c r="L32" t="str">
        <x:f>'Raw Data'!L32</x:f>
        <x:v>Personal loan EMI</x:v>
      </x:c>
    </x:row>
    <x:row r="33">
      <x:c r="A33" s="2">
        <x:f>'Raw Data'!A33</x:f>
        <x:v>46088</x:v>
      </x:c>
      <x:c r="B33" t="str">
        <x:f>TRIM('Raw Data'!B33)</x:f>
        <x:v>Mar-26</x:v>
      </x:c>
      <x:c r="C33">
        <x:f>TRIM('Raw Data'!C33)</x:f>
      </x:c>
      <x:c r="D33" t="str">
        <x:f>TRIM('Raw Data'!D33)</x:f>
        <x:v>Groceries</x:v>
      </x:c>
      <x:c r="E33" t="str">
        <x:f>TRIM('Raw Data'!E33)</x:f>
        <x:v>Variable</x:v>
      </x:c>
      <x:c r="F33" t="str">
        <x:f>TRIM('Raw Data'!F33)</x:f>
        <x:v>Credit Card</x:v>
      </x:c>
      <x:c r="G33" s="3">
        <x:f>ABS('Raw Data'!G33)</x:f>
        <x:v>4026</x:v>
      </x:c>
      <x:c r="H33" t="str">
        <x:f>TRIM('Raw Data'!H33)</x:f>
        <x:v>Expense</x:v>
      </x:c>
      <x:c r="I33" s="3">
        <x:f>IF(H33="Income",G33,-G33)</x:f>
        <x:v>-4026</x:v>
      </x:c>
      <x:c r="J33" s="3">
        <x:f>IF(H33="Expense",SUMIFS('Budget Planning'!$C$2:$C$133,'Budget Planning'!$A$2:$A$133,B33,'Budget Planning'!$B$2:$B$133,D33),0)</x:f>
        <x:v>7730</x:v>
      </x:c>
      <x:c r="K33" s="3">
        <x:f>IF(H33="Expense",J33-SUMIFS($G$2:G33,$B$2:B33,B33,$D$2:D33,D33,$H$2:H33,"Expense"),0)</x:f>
        <x:v>3704</x:v>
      </x:c>
      <x:c r="L33" t="str">
        <x:f>'Raw Data'!L33</x:f>
        <x:v>Supermarket groceries</x:v>
      </x:c>
    </x:row>
    <x:row r="34">
      <x:c r="A34" s="2">
        <x:f>'Raw Data'!A34</x:f>
        <x:v>46089</x:v>
      </x:c>
      <x:c r="B34" t="str">
        <x:f>TRIM('Raw Data'!B34)</x:f>
        <x:v>Mar-26</x:v>
      </x:c>
      <x:c r="C34">
        <x:f>TRIM('Raw Data'!C34)</x:f>
      </x:c>
      <x:c r="D34" t="str">
        <x:f>TRIM('Raw Data'!D34)</x:f>
        <x:v>Utilities</x:v>
      </x:c>
      <x:c r="E34" t="str">
        <x:f>TRIM('Raw Data'!E34)</x:f>
        <x:v>Fixed</x:v>
      </x:c>
      <x:c r="F34" t="str">
        <x:f>TRIM('Raw Data'!F34)</x:f>
        <x:v>UPI</x:v>
      </x:c>
      <x:c r="G34" s="3">
        <x:f>ABS('Raw Data'!G34)</x:f>
        <x:v>1756</x:v>
      </x:c>
      <x:c r="H34" t="str">
        <x:f>TRIM('Raw Data'!H34)</x:f>
        <x:v>Expense</x:v>
      </x:c>
      <x:c r="I34" s="3">
        <x:f>IF(H34="Income",G34,-G34)</x:f>
        <x:v>-1756</x:v>
      </x:c>
      <x:c r="J34" s="3">
        <x:f>IF(H34="Expense",SUMIFS('Budget Planning'!$C$2:$C$133,'Budget Planning'!$A$2:$A$133,B34,'Budget Planning'!$B$2:$B$133,D34),0)</x:f>
        <x:v>4516</x:v>
      </x:c>
      <x:c r="K34" s="3">
        <x:f>IF(H34="Expense",J34-SUMIFS($G$2:G34,$B$2:B34,B34,$D$2:D34,D34,$H$2:H34,"Expense"),0)</x:f>
        <x:v>2760</x:v>
      </x:c>
      <x:c r="L34" t="str">
        <x:f>'Raw Data'!L34</x:f>
        <x:v>Electricity bill</x:v>
      </x:c>
    </x:row>
    <x:row r="35">
      <x:c r="A35" s="2">
        <x:f>'Raw Data'!A35</x:f>
        <x:v>46092</x:v>
      </x:c>
      <x:c r="B35" t="str">
        <x:f>TRIM('Raw Data'!B35)</x:f>
        <x:v>Mar-26</x:v>
      </x:c>
      <x:c r="C35">
        <x:f>TRIM('Raw Data'!C35)</x:f>
      </x:c>
      <x:c r="D35" t="str">
        <x:f>TRIM('Raw Data'!D35)</x:f>
        <x:v>Utilities</x:v>
      </x:c>
      <x:c r="E35" t="str">
        <x:f>TRIM('Raw Data'!E35)</x:f>
        <x:v>Fixed</x:v>
      </x:c>
      <x:c r="F35" t="str">
        <x:f>TRIM('Raw Data'!F35)</x:f>
        <x:v>UPI</x:v>
      </x:c>
      <x:c r="G35" s="3">
        <x:f>ABS('Raw Data'!G35)</x:f>
        <x:v>1582</x:v>
      </x:c>
      <x:c r="H35" t="str">
        <x:f>TRIM('Raw Data'!H35)</x:f>
        <x:v>Expense</x:v>
      </x:c>
      <x:c r="I35" s="3">
        <x:f>IF(H35="Income",G35,-G35)</x:f>
        <x:v>-1582</x:v>
      </x:c>
      <x:c r="J35" s="3">
        <x:f>IF(H35="Expense",SUMIFS('Budget Planning'!$C$2:$C$133,'Budget Planning'!$A$2:$A$133,B35,'Budget Planning'!$B$2:$B$133,D35),0)</x:f>
        <x:v>4516</x:v>
      </x:c>
      <x:c r="K35" s="3">
        <x:f>IF(H35="Expense",J35-SUMIFS($G$2:G35,$B$2:B35,B35,$D$2:D35,D35,$H$2:H35,"Expense"),0)</x:f>
        <x:v>1178</x:v>
      </x:c>
      <x:c r="L35" t="str">
        <x:f>'Raw Data'!L35</x:f>
        <x:v>Internet / mobile bill</x:v>
      </x:c>
    </x:row>
    <x:row r="36">
      <x:c r="A36" s="2">
        <x:f>'Raw Data'!A36</x:f>
        <x:v>46093</x:v>
      </x:c>
      <x:c r="B36" t="str">
        <x:f>TRIM('Raw Data'!B36)</x:f>
        <x:v>Mar-26</x:v>
      </x:c>
      <x:c r="C36">
        <x:f>TRIM('Raw Data'!C36)</x:f>
      </x:c>
      <x:c r="D36" t="str">
        <x:f>TRIM('Raw Data'!D36)</x:f>
        <x:v>Food</x:v>
      </x:c>
      <x:c r="E36" t="str">
        <x:f>TRIM('Raw Data'!E36)</x:f>
        <x:v>Variable</x:v>
      </x:c>
      <x:c r="F36" t="str">
        <x:f>TRIM('Raw Data'!F36)</x:f>
        <x:v>Credit Card</x:v>
      </x:c>
      <x:c r="G36" s="3">
        <x:f>ABS('Raw Data'!G36)</x:f>
        <x:v>1429</x:v>
      </x:c>
      <x:c r="H36" t="str">
        <x:f>TRIM('Raw Data'!H36)</x:f>
        <x:v>Expense</x:v>
      </x:c>
      <x:c r="I36" s="3">
        <x:f>IF(H36="Income",G36,-G36)</x:f>
        <x:v>-1429</x:v>
      </x:c>
      <x:c r="J36" s="3">
        <x:f>IF(H36="Expense",SUMIFS('Budget Planning'!$C$2:$C$133,'Budget Planning'!$A$2:$A$133,B36,'Budget Planning'!$B$2:$B$133,D36),0)</x:f>
        <x:v>6836</x:v>
      </x:c>
      <x:c r="K36" s="3">
        <x:f>IF(H36="Expense",J36-SUMIFS($G$2:G36,$B$2:B36,B36,$D$2:D36,D36,$H$2:H36,"Expense"),0)</x:f>
        <x:v>5407</x:v>
      </x:c>
      <x:c r="L36" t="str">
        <x:f>'Raw Data'!L36</x:f>
        <x:v>Dining out / office lunch</x:v>
      </x:c>
    </x:row>
    <x:row r="37">
      <x:c r="A37" s="2">
        <x:f>'Raw Data'!A37</x:f>
        <x:v>46097</x:v>
      </x:c>
      <x:c r="B37" t="str">
        <x:f>TRIM('Raw Data'!B37)</x:f>
        <x:v>Mar-26</x:v>
      </x:c>
      <x:c r="C37">
        <x:f>TRIM('Raw Data'!C37)</x:f>
      </x:c>
      <x:c r="D37" t="str">
        <x:f>TRIM('Raw Data'!D37)</x:f>
        <x:v>Shopping</x:v>
      </x:c>
      <x:c r="E37" t="str">
        <x:f>TRIM('Raw Data'!E37)</x:f>
        <x:v>Variable</x:v>
      </x:c>
      <x:c r="F37" t="str">
        <x:f>TRIM('Raw Data'!F37)</x:f>
        <x:v>Credit Card</x:v>
      </x:c>
      <x:c r="G37" s="3">
        <x:f>ABS('Raw Data'!G37)</x:f>
        <x:v>2201</x:v>
      </x:c>
      <x:c r="H37" t="str">
        <x:f>TRIM('Raw Data'!H37)</x:f>
        <x:v>Expense</x:v>
      </x:c>
      <x:c r="I37" s="3">
        <x:f>IF(H37="Income",G37,-G37)</x:f>
        <x:v>-2201</x:v>
      </x:c>
      <x:c r="J37" s="3">
        <x:f>IF(H37="Expense",SUMIFS('Budget Planning'!$C$2:$C$133,'Budget Planning'!$A$2:$A$133,B37,'Budget Planning'!$B$2:$B$133,D37),0)</x:f>
        <x:v>5259</x:v>
      </x:c>
      <x:c r="K37" s="3">
        <x:f>IF(H37="Expense",J37-SUMIFS($G$2:G37,$B$2:B37,B37,$D$2:D37,D37,$H$2:H37,"Expense"),0)</x:f>
        <x:v>3058</x:v>
      </x:c>
      <x:c r="L37" t="str">
        <x:f>'Raw Data'!L37</x:f>
        <x:v>Apparel / lifestyle purchase</x:v>
      </x:c>
    </x:row>
    <x:row r="38">
      <x:c r="A38" s="2">
        <x:f>'Raw Data'!A38</x:f>
        <x:v>46099</x:v>
      </x:c>
      <x:c r="B38" t="str">
        <x:f>TRIM('Raw Data'!B38)</x:f>
        <x:v>Mar-26</x:v>
      </x:c>
      <x:c r="C38">
        <x:f>TRIM('Raw Data'!C38)</x:f>
      </x:c>
      <x:c r="D38" t="str">
        <x:f>TRIM('Raw Data'!D38)</x:f>
        <x:v>Entertainment</x:v>
      </x:c>
      <x:c r="E38" t="str">
        <x:f>TRIM('Raw Data'!E38)</x:f>
        <x:v>Variable</x:v>
      </x:c>
      <x:c r="F38" t="str">
        <x:f>TRIM('Raw Data'!F38)</x:f>
        <x:v>UPI</x:v>
      </x:c>
      <x:c r="G38" s="3">
        <x:f>ABS('Raw Data'!G38)</x:f>
        <x:v>1393</x:v>
      </x:c>
      <x:c r="H38" t="str">
        <x:f>TRIM('Raw Data'!H38)</x:f>
        <x:v>Expense</x:v>
      </x:c>
      <x:c r="I38" s="3">
        <x:f>IF(H38="Income",G38,-G38)</x:f>
        <x:v>-1393</x:v>
      </x:c>
      <x:c r="J38" s="3">
        <x:f>IF(H38="Expense",SUMIFS('Budget Planning'!$C$2:$C$133,'Budget Planning'!$A$2:$A$133,B38,'Budget Planning'!$B$2:$B$133,D38),0)</x:f>
        <x:v>3319</x:v>
      </x:c>
      <x:c r="K38" s="3">
        <x:f>IF(H38="Expense",J38-SUMIFS($G$2:G38,$B$2:B38,B38,$D$2:D38,D38,$H$2:H38,"Expense"),0)</x:f>
        <x:v>1926</x:v>
      </x:c>
      <x:c r="L38" t="str">
        <x:f>'Raw Data'!L38</x:f>
        <x:v>Movies / subscriptions</x:v>
      </x:c>
    </x:row>
    <x:row r="39">
      <x:c r="A39" s="2">
        <x:f>'Raw Data'!A39</x:f>
        <x:v>46100</x:v>
      </x:c>
      <x:c r="B39" t="str">
        <x:f>TRIM('Raw Data'!B39)</x:f>
        <x:v>Mar-26</x:v>
      </x:c>
      <x:c r="C39" t="str">
        <x:f>TRIM('Raw Data'!C39)</x:f>
        <x:v>Business</x:v>
      </x:c>
      <x:c r="D39">
        <x:f>TRIM('Raw Data'!D39)</x:f>
      </x:c>
      <x:c r="E39" t="str">
        <x:f>TRIM('Raw Data'!E39)</x:f>
        <x:v>N/A</x:v>
      </x:c>
      <x:c r="F39" t="str">
        <x:f>TRIM('Raw Data'!F39)</x:f>
        <x:v>Bank Transfer</x:v>
      </x:c>
      <x:c r="G39" s="3">
        <x:f>ABS('Raw Data'!G39)</x:f>
        <x:v>23317</x:v>
      </x:c>
      <x:c r="H39" t="str">
        <x:f>TRIM('Raw Data'!H39)</x:f>
        <x:v>Income</x:v>
      </x:c>
      <x:c r="I39" s="3">
        <x:f>IF(H39="Income",G39,-G39)</x:f>
        <x:v>23317</x:v>
      </x:c>
      <x:c r="J39" s="3">
        <x:f>IF(H39="Expense",SUMIFS('Budget Planning'!$C$2:$C$133,'Budget Planning'!$A$2:$A$133,B39,'Budget Planning'!$B$2:$B$133,D39),0)</x:f>
        <x:v>0</x:v>
      </x:c>
      <x:c r="K39" s="3">
        <x:f>IF(H39="Expense",J39-SUMIFS($G$2:G39,$B$2:B39,B39,$D$2:D39,D39,$H$2:H39,"Expense"),0)</x:f>
        <x:v>0</x:v>
      </x:c>
      <x:c r="L39" t="str">
        <x:f>'Raw Data'!L39</x:f>
        <x:v>Small business side income</x:v>
      </x:c>
    </x:row>
    <x:row r="40">
      <x:c r="A40" s="2">
        <x:f>'Raw Data'!A40</x:f>
        <x:v>46102</x:v>
      </x:c>
      <x:c r="B40" t="str">
        <x:f>TRIM('Raw Data'!B40)</x:f>
        <x:v>Mar-26</x:v>
      </x:c>
      <x:c r="C40">
        <x:f>TRIM('Raw Data'!C40)</x:f>
      </x:c>
      <x:c r="D40" t="str">
        <x:f>TRIM('Raw Data'!D40)</x:f>
        <x:v>Groceries</x:v>
      </x:c>
      <x:c r="E40" t="str">
        <x:f>TRIM('Raw Data'!E40)</x:f>
        <x:v>Variable</x:v>
      </x:c>
      <x:c r="F40" t="str">
        <x:f>TRIM('Raw Data'!F40)</x:f>
        <x:v>UPI</x:v>
      </x:c>
      <x:c r="G40" s="3">
        <x:f>ABS('Raw Data'!G40)</x:f>
        <x:v>3800</x:v>
      </x:c>
      <x:c r="H40" t="str">
        <x:f>TRIM('Raw Data'!H40)</x:f>
        <x:v>Expense</x:v>
      </x:c>
      <x:c r="I40" s="3">
        <x:f>IF(H40="Income",G40,-G40)</x:f>
        <x:v>-3800</x:v>
      </x:c>
      <x:c r="J40" s="3">
        <x:f>IF(H40="Expense",SUMIFS('Budget Planning'!$C$2:$C$133,'Budget Planning'!$A$2:$A$133,B40,'Budget Planning'!$B$2:$B$133,D40),0)</x:f>
        <x:v>7730</x:v>
      </x:c>
      <x:c r="K40" s="3">
        <x:f>IF(H40="Expense",J40-SUMIFS($G$2:G40,$B$2:B40,B40,$D$2:D40,D40,$H$2:H40,"Expense"),0)</x:f>
        <x:v>-96</x:v>
      </x:c>
      <x:c r="L40" t="str">
        <x:f>'Raw Data'!L40</x:f>
        <x:v>Monthly essentials restock</x:v>
      </x:c>
    </x:row>
    <x:row r="41">
      <x:c r="A41" s="2">
        <x:f>'Raw Data'!A41</x:f>
        <x:v>46106</x:v>
      </x:c>
      <x:c r="B41" t="str">
        <x:f>TRIM('Raw Data'!B41)</x:f>
        <x:v>Mar-26</x:v>
      </x:c>
      <x:c r="C41">
        <x:f>TRIM('Raw Data'!C41)</x:f>
      </x:c>
      <x:c r="D41" t="str">
        <x:f>TRIM('Raw Data'!D41)</x:f>
        <x:v>Food</x:v>
      </x:c>
      <x:c r="E41" t="str">
        <x:f>TRIM('Raw Data'!E41)</x:f>
        <x:v>Variable</x:v>
      </x:c>
      <x:c r="F41" t="str">
        <x:f>TRIM('Raw Data'!F41)</x:f>
        <x:v>UPI</x:v>
      </x:c>
      <x:c r="G41" s="3">
        <x:f>ABS('Raw Data'!G41)</x:f>
        <x:v>1829</x:v>
      </x:c>
      <x:c r="H41" t="str">
        <x:f>TRIM('Raw Data'!H41)</x:f>
        <x:v>Expense</x:v>
      </x:c>
      <x:c r="I41" s="3">
        <x:f>IF(H41="Income",G41,-G41)</x:f>
        <x:v>-1829</x:v>
      </x:c>
      <x:c r="J41" s="3">
        <x:f>IF(H41="Expense",SUMIFS('Budget Planning'!$C$2:$C$133,'Budget Planning'!$A$2:$A$133,B41,'Budget Planning'!$B$2:$B$133,D41),0)</x:f>
        <x:v>6836</x:v>
      </x:c>
      <x:c r="K41" s="3">
        <x:f>IF(H41="Expense",J41-SUMIFS($G$2:G41,$B$2:B41,B41,$D$2:D41,D41,$H$2:H41,"Expense"),0)</x:f>
        <x:v>3578</x:v>
      </x:c>
      <x:c r="L41" t="str">
        <x:f>'Raw Data'!L41</x:f>
        <x:v>Weekend food order</x:v>
      </x:c>
    </x:row>
    <x:row r="42">
      <x:c r="A42" s="2">
        <x:f>'Raw Data'!A42</x:f>
        <x:v>46107</x:v>
      </x:c>
      <x:c r="B42" t="str">
        <x:f>TRIM('Raw Data'!B42)</x:f>
        <x:v>Mar-26</x:v>
      </x:c>
      <x:c r="C42">
        <x:f>TRIM('Raw Data'!C42)</x:f>
      </x:c>
      <x:c r="D42" t="str">
        <x:f>TRIM('Raw Data'!D42)</x:f>
        <x:v>Healthcare</x:v>
      </x:c>
      <x:c r="E42" t="str">
        <x:f>TRIM('Raw Data'!E42)</x:f>
        <x:v>Variable</x:v>
      </x:c>
      <x:c r="F42" t="str">
        <x:f>TRIM('Raw Data'!F42)</x:f>
        <x:v>Credit Card</x:v>
      </x:c>
      <x:c r="G42" s="3">
        <x:f>ABS('Raw Data'!G42)</x:f>
        <x:v>862</x:v>
      </x:c>
      <x:c r="H42" t="str">
        <x:f>TRIM('Raw Data'!H42)</x:f>
        <x:v>Expense</x:v>
      </x:c>
      <x:c r="I42" s="3">
        <x:f>IF(H42="Income",G42,-G42)</x:f>
        <x:v>-862</x:v>
      </x:c>
      <x:c r="J42" s="3">
        <x:f>IF(H42="Expense",SUMIFS('Budget Planning'!$C$2:$C$133,'Budget Planning'!$A$2:$A$133,B42,'Budget Planning'!$B$2:$B$133,D42),0)</x:f>
        <x:v>3606</x:v>
      </x:c>
      <x:c r="K42" s="3">
        <x:f>IF(H42="Expense",J42-SUMIFS($G$2:G42,$B$2:B42,B42,$D$2:D42,D42,$H$2:H42,"Expense"),0)</x:f>
        <x:v>2744</x:v>
      </x:c>
      <x:c r="L42" t="str">
        <x:f>'Raw Data'!L42</x:f>
        <x:v>Health and wellness spend</x:v>
      </x:c>
    </x:row>
    <x:row r="43">
      <x:c r="A43" s="2">
        <x:f>'Raw Data'!A43</x:f>
        <x:v>46108</x:v>
      </x:c>
      <x:c r="B43" t="str">
        <x:f>TRIM('Raw Data'!B43)</x:f>
        <x:v>Mar-26</x:v>
      </x:c>
      <x:c r="C43" t="str">
        <x:f>TRIM('Raw Data'!C43)</x:f>
        <x:v>Interest</x:v>
      </x:c>
      <x:c r="D43">
        <x:f>TRIM('Raw Data'!D43)</x:f>
      </x:c>
      <x:c r="E43" t="str">
        <x:f>TRIM('Raw Data'!E43)</x:f>
        <x:v>N/A</x:v>
      </x:c>
      <x:c r="F43" t="str">
        <x:f>TRIM('Raw Data'!F43)</x:f>
        <x:v>Bank Transfer</x:v>
      </x:c>
      <x:c r="G43" s="3">
        <x:f>ABS('Raw Data'!G43)</x:f>
        <x:v>2207</x:v>
      </x:c>
      <x:c r="H43" t="str">
        <x:f>TRIM('Raw Data'!H43)</x:f>
        <x:v>Income</x:v>
      </x:c>
      <x:c r="I43" s="3">
        <x:f>IF(H43="Income",G43,-G43)</x:f>
        <x:v>2207</x:v>
      </x:c>
      <x:c r="J43" s="3">
        <x:f>IF(H43="Expense",SUMIFS('Budget Planning'!$C$2:$C$133,'Budget Planning'!$A$2:$A$133,B43,'Budget Planning'!$B$2:$B$133,D43),0)</x:f>
        <x:v>0</x:v>
      </x:c>
      <x:c r="K43" s="3">
        <x:f>IF(H43="Expense",J43-SUMIFS($G$2:G43,$B$2:B43,B43,$D$2:D43,D43,$H$2:H43,"Expense"),0)</x:f>
        <x:v>0</x:v>
      </x:c>
      <x:c r="L43" t="str">
        <x:f>'Raw Data'!L43</x:f>
        <x:v>Interest from savings / FD</x:v>
      </x:c>
    </x:row>
    <x:row r="44">
      <x:c r="A44" s="2">
        <x:f>'Raw Data'!A44</x:f>
        <x:v>46109</x:v>
      </x:c>
      <x:c r="B44" t="str">
        <x:f>TRIM('Raw Data'!B44)</x:f>
        <x:v>Mar-26</x:v>
      </x:c>
      <x:c r="C44">
        <x:f>TRIM('Raw Data'!C44)</x:f>
      </x:c>
      <x:c r="D44" t="str">
        <x:f>TRIM('Raw Data'!D44)</x:f>
        <x:v>Travel</x:v>
      </x:c>
      <x:c r="E44" t="str">
        <x:f>TRIM('Raw Data'!E44)</x:f>
        <x:v>Variable</x:v>
      </x:c>
      <x:c r="F44" t="str">
        <x:f>TRIM('Raw Data'!F44)</x:f>
        <x:v>Credit Card</x:v>
      </x:c>
      <x:c r="G44" s="3">
        <x:f>ABS('Raw Data'!G44)</x:f>
        <x:v>6163</x:v>
      </x:c>
      <x:c r="H44" t="str">
        <x:f>TRIM('Raw Data'!H44)</x:f>
        <x:v>Expense</x:v>
      </x:c>
      <x:c r="I44" s="3">
        <x:f>IF(H44="Income",G44,-G44)</x:f>
        <x:v>-6163</x:v>
      </x:c>
      <x:c r="J44" s="3">
        <x:f>IF(H44="Expense",SUMIFS('Budget Planning'!$C$2:$C$133,'Budget Planning'!$A$2:$A$133,B44,'Budget Planning'!$B$2:$B$133,D44),0)</x:f>
        <x:v>4351</x:v>
      </x:c>
      <x:c r="K44" s="3">
        <x:f>IF(H44="Expense",J44-SUMIFS($G$2:G44,$B$2:B44,B44,$D$2:D44,D44,$H$2:H44,"Expense"),0)</x:f>
        <x:v>-1812</x:v>
      </x:c>
      <x:c r="L44" t="str">
        <x:f>'Raw Data'!L44</x:f>
        <x:v>Cab / fuel / local travel</x:v>
      </x:c>
    </x:row>
    <x:row r="45">
      <x:c r="A45" s="2">
        <x:f>'Raw Data'!A45</x:f>
        <x:v>46113</x:v>
      </x:c>
      <x:c r="B45" t="str">
        <x:f>TRIM('Raw Data'!B45)</x:f>
        <x:v>Apr-26</x:v>
      </x:c>
      <x:c r="C45" t="str">
        <x:f>TRIM('Raw Data'!C45)</x:f>
        <x:v>Salary</x:v>
      </x:c>
      <x:c r="D45">
        <x:f>TRIM('Raw Data'!D45)</x:f>
      </x:c>
      <x:c r="E45" t="str">
        <x:f>TRIM('Raw Data'!E45)</x:f>
        <x:v>N/A</x:v>
      </x:c>
      <x:c r="F45" t="str">
        <x:f>TRIM('Raw Data'!F45)</x:f>
        <x:v>Bank Transfer</x:v>
      </x:c>
      <x:c r="G45" s="3">
        <x:f>ABS('Raw Data'!G45)</x:f>
        <x:v>92404</x:v>
      </x:c>
      <x:c r="H45" t="str">
        <x:f>TRIM('Raw Data'!H45)</x:f>
        <x:v>Income</x:v>
      </x:c>
      <x:c r="I45" s="3">
        <x:f>IF(H45="Income",G45,-G45)</x:f>
        <x:v>92404</x:v>
      </x:c>
      <x:c r="J45" s="3">
        <x:f>IF(H45="Expense",SUMIFS('Budget Planning'!$C$2:$C$133,'Budget Planning'!$A$2:$A$133,B45,'Budget Planning'!$B$2:$B$133,D45),0)</x:f>
        <x:v>0</x:v>
      </x:c>
      <x:c r="K45" s="3">
        <x:f>IF(H45="Expense",J45-SUMIFS($G$2:G45,$B$2:B45,B45,$D$2:D45,D45,$H$2:H45,"Expense"),0)</x:f>
        <x:v>0</x:v>
      </x:c>
      <x:c r="L45" t="str">
        <x:f>'Raw Data'!L45</x:f>
        <x:v>Monthly salary credited</x:v>
      </x:c>
    </x:row>
    <x:row r="46">
      <x:c r="A46" s="2">
        <x:f>'Raw Data'!A46</x:f>
        <x:v>46114</x:v>
      </x:c>
      <x:c r="B46" t="str">
        <x:f>TRIM('Raw Data'!B46)</x:f>
        <x:v>Apr-26</x:v>
      </x:c>
      <x:c r="C46">
        <x:f>TRIM('Raw Data'!C46)</x:f>
      </x:c>
      <x:c r="D46" t="str">
        <x:f>TRIM('Raw Data'!D46)</x:f>
        <x:v>Rent</x:v>
      </x:c>
      <x:c r="E46" t="str">
        <x:f>TRIM('Raw Data'!E46)</x:f>
        <x:v>Fixed</x:v>
      </x:c>
      <x:c r="F46" t="str">
        <x:f>TRIM('Raw Data'!F46)</x:f>
        <x:v>Bank Transfer</x:v>
      </x:c>
      <x:c r="G46" s="3">
        <x:f>ABS('Raw Data'!G46)</x:f>
        <x:v>28000</x:v>
      </x:c>
      <x:c r="H46" t="str">
        <x:f>TRIM('Raw Data'!H46)</x:f>
        <x:v>Expense</x:v>
      </x:c>
      <x:c r="I46" s="3">
        <x:f>IF(H46="Income",G46,-G46)</x:f>
        <x:v>-28000</x:v>
      </x:c>
      <x:c r="J46" s="3">
        <x:f>IF(H46="Expense",SUMIFS('Budget Planning'!$C$2:$C$133,'Budget Planning'!$A$2:$A$133,B46,'Budget Planning'!$B$2:$B$133,D46),0)</x:f>
        <x:v>28000</x:v>
      </x:c>
      <x:c r="K46" s="3">
        <x:f>IF(H46="Expense",J46-SUMIFS($G$2:G46,$B$2:B46,B46,$D$2:D46,D46,$H$2:H46,"Expense"),0)</x:f>
        <x:v>0</x:v>
      </x:c>
      <x:c r="L46" t="str">
        <x:f>'Raw Data'!L46</x:f>
        <x:v>House rent payment</x:v>
      </x:c>
    </x:row>
    <x:row r="47">
      <x:c r="A47" s="2">
        <x:f>'Raw Data'!A47</x:f>
        <x:v>46117</x:v>
      </x:c>
      <x:c r="B47" t="str">
        <x:f>TRIM('Raw Data'!B47)</x:f>
        <x:v>Apr-26</x:v>
      </x:c>
      <x:c r="C47">
        <x:f>TRIM('Raw Data'!C47)</x:f>
      </x:c>
      <x:c r="D47" t="str">
        <x:f>TRIM('Raw Data'!D47)</x:f>
        <x:v>EMI</x:v>
      </x:c>
      <x:c r="E47" t="str">
        <x:f>TRIM('Raw Data'!E47)</x:f>
        <x:v>Fixed</x:v>
      </x:c>
      <x:c r="F47" t="str">
        <x:f>TRIM('Raw Data'!F47)</x:f>
        <x:v>Bank Transfer</x:v>
      </x:c>
      <x:c r="G47" s="3">
        <x:f>ABS('Raw Data'!G47)</x:f>
        <x:v>9000</x:v>
      </x:c>
      <x:c r="H47" t="str">
        <x:f>TRIM('Raw Data'!H47)</x:f>
        <x:v>Expense</x:v>
      </x:c>
      <x:c r="I47" s="3">
        <x:f>IF(H47="Income",G47,-G47)</x:f>
        <x:v>-9000</x:v>
      </x:c>
      <x:c r="J47" s="3">
        <x:f>IF(H47="Expense",SUMIFS('Budget Planning'!$C$2:$C$133,'Budget Planning'!$A$2:$A$133,B47,'Budget Planning'!$B$2:$B$133,D47),0)</x:f>
        <x:v>9000</x:v>
      </x:c>
      <x:c r="K47" s="3">
        <x:f>IF(H47="Expense",J47-SUMIFS($G$2:G47,$B$2:B47,B47,$D$2:D47,D47,$H$2:H47,"Expense"),0)</x:f>
        <x:v>0</x:v>
      </x:c>
      <x:c r="L47" t="str">
        <x:f>'Raw Data'!L47</x:f>
        <x:v>Personal loan EMI</x:v>
      </x:c>
    </x:row>
    <x:row r="48">
      <x:c r="A48" s="2">
        <x:f>'Raw Data'!A48</x:f>
        <x:v>46119</x:v>
      </x:c>
      <x:c r="B48" t="str">
        <x:f>TRIM('Raw Data'!B48)</x:f>
        <x:v>Apr-26</x:v>
      </x:c>
      <x:c r="C48">
        <x:f>TRIM('Raw Data'!C48)</x:f>
      </x:c>
      <x:c r="D48" t="str">
        <x:f>TRIM('Raw Data'!D48)</x:f>
        <x:v>Groceries</x:v>
      </x:c>
      <x:c r="E48" t="str">
        <x:f>TRIM('Raw Data'!E48)</x:f>
        <x:v>Variable</x:v>
      </x:c>
      <x:c r="F48" t="str">
        <x:f>TRIM('Raw Data'!F48)</x:f>
        <x:v>Cash</x:v>
      </x:c>
      <x:c r="G48" s="3">
        <x:f>ABS('Raw Data'!G48)</x:f>
        <x:v>3904</x:v>
      </x:c>
      <x:c r="H48" t="str">
        <x:f>TRIM('Raw Data'!H48)</x:f>
        <x:v>Expense</x:v>
      </x:c>
      <x:c r="I48" s="3">
        <x:f>IF(H48="Income",G48,-G48)</x:f>
        <x:v>-3904</x:v>
      </x:c>
      <x:c r="J48" s="3">
        <x:f>IF(H48="Expense",SUMIFS('Budget Planning'!$C$2:$C$133,'Budget Planning'!$A$2:$A$133,B48,'Budget Planning'!$B$2:$B$133,D48),0)</x:f>
        <x:v>7265</x:v>
      </x:c>
      <x:c r="K48" s="3">
        <x:f>IF(H48="Expense",J48-SUMIFS($G$2:G48,$B$2:B48,B48,$D$2:D48,D48,$H$2:H48,"Expense"),0)</x:f>
        <x:v>3361</x:v>
      </x:c>
      <x:c r="L48" t="str">
        <x:f>'Raw Data'!L48</x:f>
        <x:v>Supermarket groceries</x:v>
      </x:c>
    </x:row>
    <x:row r="49">
      <x:c r="A49" s="2">
        <x:f>'Raw Data'!A49</x:f>
        <x:v>46120</x:v>
      </x:c>
      <x:c r="B49" t="str">
        <x:f>TRIM('Raw Data'!B49)</x:f>
        <x:v>Apr-26</x:v>
      </x:c>
      <x:c r="C49">
        <x:f>TRIM('Raw Data'!C49)</x:f>
      </x:c>
      <x:c r="D49" t="str">
        <x:f>TRIM('Raw Data'!D49)</x:f>
        <x:v>Utilities</x:v>
      </x:c>
      <x:c r="E49" t="str">
        <x:f>TRIM('Raw Data'!E49)</x:f>
        <x:v>Fixed</x:v>
      </x:c>
      <x:c r="F49" t="str">
        <x:f>TRIM('Raw Data'!F49)</x:f>
        <x:v>Bank Transfer</x:v>
      </x:c>
      <x:c r="G49" s="3">
        <x:f>ABS('Raw Data'!G49)</x:f>
        <x:v>1871</x:v>
      </x:c>
      <x:c r="H49" t="str">
        <x:f>TRIM('Raw Data'!H49)</x:f>
        <x:v>Expense</x:v>
      </x:c>
      <x:c r="I49" s="3">
        <x:f>IF(H49="Income",G49,-G49)</x:f>
        <x:v>-1871</x:v>
      </x:c>
      <x:c r="J49" s="3">
        <x:f>IF(H49="Expense",SUMIFS('Budget Planning'!$C$2:$C$133,'Budget Planning'!$A$2:$A$133,B49,'Budget Planning'!$B$2:$B$133,D49),0)</x:f>
        <x:v>3969</x:v>
      </x:c>
      <x:c r="K49" s="3">
        <x:f>IF(H49="Expense",J49-SUMIFS($G$2:G49,$B$2:B49,B49,$D$2:D49,D49,$H$2:H49,"Expense"),0)</x:f>
        <x:v>2098</x:v>
      </x:c>
      <x:c r="L49" t="str">
        <x:f>'Raw Data'!L49</x:f>
        <x:v>Electricity bill</x:v>
      </x:c>
    </x:row>
    <x:row r="50">
      <x:c r="A50" s="2">
        <x:f>'Raw Data'!A50</x:f>
        <x:v>46121</x:v>
      </x:c>
      <x:c r="B50" t="str">
        <x:f>TRIM('Raw Data'!B50)</x:f>
        <x:v>Apr-26</x:v>
      </x:c>
      <x:c r="C50">
        <x:f>TRIM('Raw Data'!C50)</x:f>
      </x:c>
      <x:c r="D50" t="str">
        <x:f>TRIM('Raw Data'!D50)</x:f>
        <x:v>Insurance</x:v>
      </x:c>
      <x:c r="E50" t="str">
        <x:f>TRIM('Raw Data'!E50)</x:f>
        <x:v>Fixed</x:v>
      </x:c>
      <x:c r="F50" t="str">
        <x:f>TRIM('Raw Data'!F50)</x:f>
        <x:v>Bank Transfer</x:v>
      </x:c>
      <x:c r="G50" s="3">
        <x:f>ABS('Raw Data'!G50)</x:f>
        <x:v>3500</x:v>
      </x:c>
      <x:c r="H50" t="str">
        <x:f>TRIM('Raw Data'!H50)</x:f>
        <x:v>Expense</x:v>
      </x:c>
      <x:c r="I50" s="3">
        <x:f>IF(H50="Income",G50,-G50)</x:f>
        <x:v>-3500</x:v>
      </x:c>
      <x:c r="J50" s="3">
        <x:f>IF(H50="Expense",SUMIFS('Budget Planning'!$C$2:$C$133,'Budget Planning'!$A$2:$A$133,B50,'Budget Planning'!$B$2:$B$133,D50),0)</x:f>
        <x:v>3500</x:v>
      </x:c>
      <x:c r="K50" s="3">
        <x:f>IF(H50="Expense",J50-SUMIFS($G$2:G50,$B$2:B50,B50,$D$2:D50,D50,$H$2:H50,"Expense"),0)</x:f>
        <x:v>0</x:v>
      </x:c>
      <x:c r="L50" t="str">
        <x:f>'Raw Data'!L50</x:f>
        <x:v>Health insurance premium</x:v>
      </x:c>
    </x:row>
    <x:row r="51">
      <x:c r="A51" s="2">
        <x:f>'Raw Data'!A51</x:f>
        <x:v>46123</x:v>
      </x:c>
      <x:c r="B51" t="str">
        <x:f>TRIM('Raw Data'!B51)</x:f>
        <x:v>Apr-26</x:v>
      </x:c>
      <x:c r="C51">
        <x:f>TRIM('Raw Data'!C51)</x:f>
      </x:c>
      <x:c r="D51" t="str">
        <x:f>TRIM('Raw Data'!D51)</x:f>
        <x:v>Utilities</x:v>
      </x:c>
      <x:c r="E51" t="str">
        <x:f>TRIM('Raw Data'!E51)</x:f>
        <x:v>Fixed</x:v>
      </x:c>
      <x:c r="F51" t="str">
        <x:f>TRIM('Raw Data'!F51)</x:f>
        <x:v>UPI</x:v>
      </x:c>
      <x:c r="G51" s="3">
        <x:f>ABS('Raw Data'!G51)</x:f>
        <x:v>1740</x:v>
      </x:c>
      <x:c r="H51" t="str">
        <x:f>TRIM('Raw Data'!H51)</x:f>
        <x:v>Expense</x:v>
      </x:c>
      <x:c r="I51" s="3">
        <x:f>IF(H51="Income",G51,-G51)</x:f>
        <x:v>-1740</x:v>
      </x:c>
      <x:c r="J51" s="3">
        <x:f>IF(H51="Expense",SUMIFS('Budget Planning'!$C$2:$C$133,'Budget Planning'!$A$2:$A$133,B51,'Budget Planning'!$B$2:$B$133,D51),0)</x:f>
        <x:v>3969</x:v>
      </x:c>
      <x:c r="K51" s="3">
        <x:f>IF(H51="Expense",J51-SUMIFS($G$2:G51,$B$2:B51,B51,$D$2:D51,D51,$H$2:H51,"Expense"),0)</x:f>
        <x:v>358</x:v>
      </x:c>
      <x:c r="L51" t="str">
        <x:f>'Raw Data'!L51</x:f>
        <x:v>Internet / mobile bill</x:v>
      </x:c>
    </x:row>
    <x:row r="52">
      <x:c r="A52" s="2">
        <x:f>'Raw Data'!A52</x:f>
        <x:v>46124</x:v>
      </x:c>
      <x:c r="B52" t="str">
        <x:f>TRIM('Raw Data'!B52)</x:f>
        <x:v>Apr-26</x:v>
      </x:c>
      <x:c r="C52">
        <x:f>TRIM('Raw Data'!C52)</x:f>
      </x:c>
      <x:c r="D52" t="str">
        <x:f>TRIM('Raw Data'!D52)</x:f>
        <x:v>Food</x:v>
      </x:c>
      <x:c r="E52" t="str">
        <x:f>TRIM('Raw Data'!E52)</x:f>
        <x:v>Variable</x:v>
      </x:c>
      <x:c r="F52" t="str">
        <x:f>TRIM('Raw Data'!F52)</x:f>
        <x:v>Credit Card</x:v>
      </x:c>
      <x:c r="G52" s="3">
        <x:f>ABS('Raw Data'!G52)</x:f>
        <x:v>2660</x:v>
      </x:c>
      <x:c r="H52" t="str">
        <x:f>TRIM('Raw Data'!H52)</x:f>
        <x:v>Expense</x:v>
      </x:c>
      <x:c r="I52" s="3">
        <x:f>IF(H52="Income",G52,-G52)</x:f>
        <x:v>-2660</x:v>
      </x:c>
      <x:c r="J52" s="3">
        <x:f>IF(H52="Expense",SUMIFS('Budget Planning'!$C$2:$C$133,'Budget Planning'!$A$2:$A$133,B52,'Budget Planning'!$B$2:$B$133,D52),0)</x:f>
        <x:v>6096</x:v>
      </x:c>
      <x:c r="K52" s="3">
        <x:f>IF(H52="Expense",J52-SUMIFS($G$2:G52,$B$2:B52,B52,$D$2:D52,D52,$H$2:H52,"Expense"),0)</x:f>
        <x:v>3436</x:v>
      </x:c>
      <x:c r="L52" t="str">
        <x:f>'Raw Data'!L52</x:f>
        <x:v>Dining out / office lunch</x:v>
      </x:c>
    </x:row>
    <x:row r="53">
      <x:c r="A53" s="2">
        <x:f>'Raw Data'!A53</x:f>
        <x:v>46126</x:v>
      </x:c>
      <x:c r="B53" t="str">
        <x:f>TRIM('Raw Data'!B53)</x:f>
        <x:v>Apr-26</x:v>
      </x:c>
      <x:c r="C53">
        <x:f>TRIM('Raw Data'!C53)</x:f>
      </x:c>
      <x:c r="D53" t="str">
        <x:f>TRIM('Raw Data'!D53)</x:f>
        <x:v>Healthcare</x:v>
      </x:c>
      <x:c r="E53" t="str">
        <x:f>TRIM('Raw Data'!E53)</x:f>
        <x:v>Variable</x:v>
      </x:c>
      <x:c r="F53" t="str">
        <x:f>TRIM('Raw Data'!F53)</x:f>
        <x:v>Credit Card</x:v>
      </x:c>
      <x:c r="G53" s="3">
        <x:f>ABS('Raw Data'!G53)</x:f>
        <x:v>1805</x:v>
      </x:c>
      <x:c r="H53" t="str">
        <x:f>TRIM('Raw Data'!H53)</x:f>
        <x:v>Expense</x:v>
      </x:c>
      <x:c r="I53" s="3">
        <x:f>IF(H53="Income",G53,-G53)</x:f>
        <x:v>-1805</x:v>
      </x:c>
      <x:c r="J53" s="3">
        <x:f>IF(H53="Expense",SUMIFS('Budget Planning'!$C$2:$C$133,'Budget Planning'!$A$2:$A$133,B53,'Budget Planning'!$B$2:$B$133,D53),0)</x:f>
        <x:v>2609</x:v>
      </x:c>
      <x:c r="K53" s="3">
        <x:f>IF(H53="Expense",J53-SUMIFS($G$2:G53,$B$2:B53,B53,$D$2:D53,D53,$H$2:H53,"Expense"),0)</x:f>
        <x:v>804</x:v>
      </x:c>
      <x:c r="L53" t="str">
        <x:f>'Raw Data'!L53</x:f>
        <x:v>Health and wellness spend</x:v>
      </x:c>
    </x:row>
    <x:row r="54">
      <x:c r="A54" s="2">
        <x:f>'Raw Data'!A54</x:f>
        <x:v>46128</x:v>
      </x:c>
      <x:c r="B54" t="str">
        <x:f>TRIM('Raw Data'!B54)</x:f>
        <x:v>Apr-26</x:v>
      </x:c>
      <x:c r="C54">
        <x:f>TRIM('Raw Data'!C54)</x:f>
      </x:c>
      <x:c r="D54" t="str">
        <x:f>TRIM('Raw Data'!D54)</x:f>
        <x:v>Shopping</x:v>
      </x:c>
      <x:c r="E54" t="str">
        <x:f>TRIM('Raw Data'!E54)</x:f>
        <x:v>Variable</x:v>
      </x:c>
      <x:c r="F54" t="str">
        <x:f>TRIM('Raw Data'!F54)</x:f>
        <x:v>UPI</x:v>
      </x:c>
      <x:c r="G54" s="3">
        <x:f>ABS('Raw Data'!G54)</x:f>
        <x:v>5739</x:v>
      </x:c>
      <x:c r="H54" t="str">
        <x:f>TRIM('Raw Data'!H54)</x:f>
        <x:v>Expense</x:v>
      </x:c>
      <x:c r="I54" s="3">
        <x:f>IF(H54="Income",G54,-G54)</x:f>
        <x:v>-5739</x:v>
      </x:c>
      <x:c r="J54" s="3">
        <x:f>IF(H54="Expense",SUMIFS('Budget Planning'!$C$2:$C$133,'Budget Planning'!$A$2:$A$133,B54,'Budget Planning'!$B$2:$B$133,D54),0)</x:f>
        <x:v>4718</x:v>
      </x:c>
      <x:c r="K54" s="3">
        <x:f>IF(H54="Expense",J54-SUMIFS($G$2:G54,$B$2:B54,B54,$D$2:D54,D54,$H$2:H54,"Expense"),0)</x:f>
        <x:v>-1021</x:v>
      </x:c>
      <x:c r="L54" t="str">
        <x:f>'Raw Data'!L54</x:f>
        <x:v>Apparel / lifestyle purchase</x:v>
      </x:c>
    </x:row>
    <x:row r="55">
      <x:c r="A55" s="2">
        <x:f>'Raw Data'!A55</x:f>
        <x:v>46128</x:v>
      </x:c>
      <x:c r="B55" t="str">
        <x:f>TRIM('Raw Data'!B55)</x:f>
        <x:v>Apr-26</x:v>
      </x:c>
      <x:c r="C55">
        <x:f>TRIM('Raw Data'!C55)</x:f>
      </x:c>
      <x:c r="D55" t="str">
        <x:f>TRIM('Raw Data'!D55)</x:f>
        <x:v>Travel</x:v>
      </x:c>
      <x:c r="E55" t="str">
        <x:f>TRIM('Raw Data'!E55)</x:f>
        <x:v>Variable</x:v>
      </x:c>
      <x:c r="F55" t="str">
        <x:f>TRIM('Raw Data'!F55)</x:f>
        <x:v>Credit Card</x:v>
      </x:c>
      <x:c r="G55" s="3">
        <x:f>ABS('Raw Data'!G55)</x:f>
        <x:v>7269</x:v>
      </x:c>
      <x:c r="H55" t="str">
        <x:f>TRIM('Raw Data'!H55)</x:f>
        <x:v>Expense</x:v>
      </x:c>
      <x:c r="I55" s="3">
        <x:f>IF(H55="Income",G55,-G55)</x:f>
        <x:v>-7269</x:v>
      </x:c>
      <x:c r="J55" s="3">
        <x:f>IF(H55="Expense",SUMIFS('Budget Planning'!$C$2:$C$133,'Budget Planning'!$A$2:$A$133,B55,'Budget Planning'!$B$2:$B$133,D55),0)</x:f>
        <x:v>4340</x:v>
      </x:c>
      <x:c r="K55" s="3">
        <x:f>IF(H55="Expense",J55-SUMIFS($G$2:G55,$B$2:B55,B55,$D$2:D55,D55,$H$2:H55,"Expense"),0)</x:f>
        <x:v>-2929</x:v>
      </x:c>
      <x:c r="L55" t="str">
        <x:f>'Raw Data'!L55</x:f>
        <x:v>Short trip / weekend getaway</x:v>
      </x:c>
    </x:row>
    <x:row r="56">
      <x:c r="A56" s="2">
        <x:f>'Raw Data'!A56</x:f>
        <x:v>46130</x:v>
      </x:c>
      <x:c r="B56" t="str">
        <x:f>TRIM('Raw Data'!B56)</x:f>
        <x:v>Apr-26</x:v>
      </x:c>
      <x:c r="C56">
        <x:f>TRIM('Raw Data'!C56)</x:f>
      </x:c>
      <x:c r="D56" t="str">
        <x:f>TRIM('Raw Data'!D56)</x:f>
        <x:v>Entertainment</x:v>
      </x:c>
      <x:c r="E56" t="str">
        <x:f>TRIM('Raw Data'!E56)</x:f>
        <x:v>Variable</x:v>
      </x:c>
      <x:c r="F56" t="str">
        <x:f>TRIM('Raw Data'!F56)</x:f>
        <x:v>Cash</x:v>
      </x:c>
      <x:c r="G56" s="3">
        <x:f>ABS('Raw Data'!G56)</x:f>
        <x:v>1664</x:v>
      </x:c>
      <x:c r="H56" t="str">
        <x:f>TRIM('Raw Data'!H56)</x:f>
        <x:v>Expense</x:v>
      </x:c>
      <x:c r="I56" s="3">
        <x:f>IF(H56="Income",G56,-G56)</x:f>
        <x:v>-1664</x:v>
      </x:c>
      <x:c r="J56" s="3">
        <x:f>IF(H56="Expense",SUMIFS('Budget Planning'!$C$2:$C$133,'Budget Planning'!$A$2:$A$133,B56,'Budget Planning'!$B$2:$B$133,D56),0)</x:f>
        <x:v>3089</x:v>
      </x:c>
      <x:c r="K56" s="3">
        <x:f>IF(H56="Expense",J56-SUMIFS($G$2:G56,$B$2:B56,B56,$D$2:D56,D56,$H$2:H56,"Expense"),0)</x:f>
        <x:v>1425</x:v>
      </x:c>
      <x:c r="L56" t="str">
        <x:f>'Raw Data'!L56</x:f>
        <x:v>Movies / subscriptions</x:v>
      </x:c>
    </x:row>
    <x:row r="57">
      <x:c r="A57" s="2">
        <x:f>'Raw Data'!A57</x:f>
        <x:v>46133</x:v>
      </x:c>
      <x:c r="B57" t="str">
        <x:f>TRIM('Raw Data'!B57)</x:f>
        <x:v>Apr-26</x:v>
      </x:c>
      <x:c r="C57">
        <x:f>TRIM('Raw Data'!C57)</x:f>
      </x:c>
      <x:c r="D57" t="str">
        <x:f>TRIM('Raw Data'!D57)</x:f>
        <x:v>Groceries</x:v>
      </x:c>
      <x:c r="E57" t="str">
        <x:f>TRIM('Raw Data'!E57)</x:f>
        <x:v>Variable</x:v>
      </x:c>
      <x:c r="F57" t="str">
        <x:f>TRIM('Raw Data'!F57)</x:f>
        <x:v>UPI</x:v>
      </x:c>
      <x:c r="G57" s="3">
        <x:f>ABS('Raw Data'!G57)</x:f>
        <x:v>4212</x:v>
      </x:c>
      <x:c r="H57" t="str">
        <x:f>TRIM('Raw Data'!H57)</x:f>
        <x:v>Expense</x:v>
      </x:c>
      <x:c r="I57" s="3">
        <x:f>IF(H57="Income",G57,-G57)</x:f>
        <x:v>-4212</x:v>
      </x:c>
      <x:c r="J57" s="3">
        <x:f>IF(H57="Expense",SUMIFS('Budget Planning'!$C$2:$C$133,'Budget Planning'!$A$2:$A$133,B57,'Budget Planning'!$B$2:$B$133,D57),0)</x:f>
        <x:v>7265</x:v>
      </x:c>
      <x:c r="K57" s="3">
        <x:f>IF(H57="Expense",J57-SUMIFS($G$2:G57,$B$2:B57,B57,$D$2:D57,D57,$H$2:H57,"Expense"),0)</x:f>
        <x:v>-851</x:v>
      </x:c>
      <x:c r="L57" t="str">
        <x:f>'Raw Data'!L57</x:f>
        <x:v>Monthly essentials restock</x:v>
      </x:c>
    </x:row>
    <x:row r="58">
      <x:c r="A58" s="2">
        <x:f>'Raw Data'!A58</x:f>
        <x:v>46137</x:v>
      </x:c>
      <x:c r="B58" t="str">
        <x:f>TRIM('Raw Data'!B58)</x:f>
        <x:v>Apr-26</x:v>
      </x:c>
      <x:c r="C58" t="str">
        <x:f>TRIM('Raw Data'!C58)</x:f>
        <x:v>Freelance</x:v>
      </x:c>
      <x:c r="D58">
        <x:f>TRIM('Raw Data'!D58)</x:f>
      </x:c>
      <x:c r="E58" t="str">
        <x:f>TRIM('Raw Data'!E58)</x:f>
        <x:v>N/A</x:v>
      </x:c>
      <x:c r="F58" t="str">
        <x:f>TRIM('Raw Data'!F58)</x:f>
        <x:v>Bank Transfer</x:v>
      </x:c>
      <x:c r="G58" s="3">
        <x:f>ABS('Raw Data'!G58)</x:f>
        <x:v>19787</x:v>
      </x:c>
      <x:c r="H58" t="str">
        <x:f>TRIM('Raw Data'!H58)</x:f>
        <x:v>Income</x:v>
      </x:c>
      <x:c r="I58" s="3">
        <x:f>IF(H58="Income",G58,-G58)</x:f>
        <x:v>19787</x:v>
      </x:c>
      <x:c r="J58" s="3">
        <x:f>IF(H58="Expense",SUMIFS('Budget Planning'!$C$2:$C$133,'Budget Planning'!$A$2:$A$133,B58,'Budget Planning'!$B$2:$B$133,D58),0)</x:f>
        <x:v>0</x:v>
      </x:c>
      <x:c r="K58" s="3">
        <x:f>IF(H58="Expense",J58-SUMIFS($G$2:G58,$B$2:B58,B58,$D$2:D58,D58,$H$2:H58,"Expense"),0)</x:f>
        <x:v>0</x:v>
      </x:c>
      <x:c r="L58" t="str">
        <x:f>'Raw Data'!L58</x:f>
        <x:v>Freelance project payment</x:v>
      </x:c>
    </x:row>
    <x:row r="59">
      <x:c r="A59" s="2">
        <x:f>'Raw Data'!A59</x:f>
        <x:v>46137</x:v>
      </x:c>
      <x:c r="B59" t="str">
        <x:f>TRIM('Raw Data'!B59)</x:f>
        <x:v>Apr-26</x:v>
      </x:c>
      <x:c r="C59">
        <x:f>TRIM('Raw Data'!C59)</x:f>
      </x:c>
      <x:c r="D59" t="str">
        <x:f>TRIM('Raw Data'!D59)</x:f>
        <x:v>Food</x:v>
      </x:c>
      <x:c r="E59" t="str">
        <x:f>TRIM('Raw Data'!E59)</x:f>
        <x:v>Variable</x:v>
      </x:c>
      <x:c r="F59" t="str">
        <x:f>TRIM('Raw Data'!F59)</x:f>
        <x:v>Cash</x:v>
      </x:c>
      <x:c r="G59" s="3">
        <x:f>ABS('Raw Data'!G59)</x:f>
        <x:v>2017</x:v>
      </x:c>
      <x:c r="H59" t="str">
        <x:f>TRIM('Raw Data'!H59)</x:f>
        <x:v>Expense</x:v>
      </x:c>
      <x:c r="I59" s="3">
        <x:f>IF(H59="Income",G59,-G59)</x:f>
        <x:v>-2017</x:v>
      </x:c>
      <x:c r="J59" s="3">
        <x:f>IF(H59="Expense",SUMIFS('Budget Planning'!$C$2:$C$133,'Budget Planning'!$A$2:$A$133,B59,'Budget Planning'!$B$2:$B$133,D59),0)</x:f>
        <x:v>6096</x:v>
      </x:c>
      <x:c r="K59" s="3">
        <x:f>IF(H59="Expense",J59-SUMIFS($G$2:G59,$B$2:B59,B59,$D$2:D59,D59,$H$2:H59,"Expense"),0)</x:f>
        <x:v>1419</x:v>
      </x:c>
      <x:c r="L59" t="str">
        <x:f>'Raw Data'!L59</x:f>
        <x:v>Weekend food order</x:v>
      </x:c>
    </x:row>
    <x:row r="60">
      <x:c r="A60" s="2">
        <x:f>'Raw Data'!A60</x:f>
        <x:v>46139</x:v>
      </x:c>
      <x:c r="B60" t="str">
        <x:f>TRIM('Raw Data'!B60)</x:f>
        <x:v>Apr-26</x:v>
      </x:c>
      <x:c r="C60">
        <x:f>TRIM('Raw Data'!C60)</x:f>
      </x:c>
      <x:c r="D60" t="str">
        <x:f>TRIM('Raw Data'!D60)</x:f>
        <x:v>Travel</x:v>
      </x:c>
      <x:c r="E60" t="str">
        <x:f>TRIM('Raw Data'!E60)</x:f>
        <x:v>Variable</x:v>
      </x:c>
      <x:c r="F60" t="str">
        <x:f>TRIM('Raw Data'!F60)</x:f>
        <x:v>Credit Card</x:v>
      </x:c>
      <x:c r="G60" s="3">
        <x:f>ABS('Raw Data'!G60)</x:f>
        <x:v>3830</x:v>
      </x:c>
      <x:c r="H60" t="str">
        <x:f>TRIM('Raw Data'!H60)</x:f>
        <x:v>Expense</x:v>
      </x:c>
      <x:c r="I60" s="3">
        <x:f>IF(H60="Income",G60,-G60)</x:f>
        <x:v>-3830</x:v>
      </x:c>
      <x:c r="J60" s="3">
        <x:f>IF(H60="Expense",SUMIFS('Budget Planning'!$C$2:$C$133,'Budget Planning'!$A$2:$A$133,B60,'Budget Planning'!$B$2:$B$133,D60),0)</x:f>
        <x:v>4340</x:v>
      </x:c>
      <x:c r="K60" s="3">
        <x:f>IF(H60="Expense",J60-SUMIFS($G$2:G60,$B$2:B60,B60,$D$2:D60,D60,$H$2:H60,"Expense"),0)</x:f>
        <x:v>-6759</x:v>
      </x:c>
      <x:c r="L60" t="str">
        <x:f>'Raw Data'!L60</x:f>
        <x:v>Cab / fuel / local travel</x:v>
      </x:c>
    </x:row>
    <x:row r="61">
      <x:c r="A61" s="2">
        <x:f>'Raw Data'!A61</x:f>
        <x:v>46143</x:v>
      </x:c>
      <x:c r="B61" t="str">
        <x:f>TRIM('Raw Data'!B61)</x:f>
        <x:v>May-26</x:v>
      </x:c>
      <x:c r="C61" t="str">
        <x:f>TRIM('Raw Data'!C61)</x:f>
        <x:v>Salary</x:v>
      </x:c>
      <x:c r="D61">
        <x:f>TRIM('Raw Data'!D61)</x:f>
      </x:c>
      <x:c r="E61" t="str">
        <x:f>TRIM('Raw Data'!E61)</x:f>
        <x:v>N/A</x:v>
      </x:c>
      <x:c r="F61" t="str">
        <x:f>TRIM('Raw Data'!F61)</x:f>
        <x:v>Bank Transfer</x:v>
      </x:c>
      <x:c r="G61" s="3">
        <x:f>ABS('Raw Data'!G61)</x:f>
        <x:v>88804</x:v>
      </x:c>
      <x:c r="H61" t="str">
        <x:f>TRIM('Raw Data'!H61)</x:f>
        <x:v>Income</x:v>
      </x:c>
      <x:c r="I61" s="3">
        <x:f>IF(H61="Income",G61,-G61)</x:f>
        <x:v>88804</x:v>
      </x:c>
      <x:c r="J61" s="3">
        <x:f>IF(H61="Expense",SUMIFS('Budget Planning'!$C$2:$C$133,'Budget Planning'!$A$2:$A$133,B61,'Budget Planning'!$B$2:$B$133,D61),0)</x:f>
        <x:v>0</x:v>
      </x:c>
      <x:c r="K61" s="3">
        <x:f>IF(H61="Expense",J61-SUMIFS($G$2:G61,$B$2:B61,B61,$D$2:D61,D61,$H$2:H61,"Expense"),0)</x:f>
        <x:v>0</x:v>
      </x:c>
      <x:c r="L61" t="str">
        <x:f>'Raw Data'!L61</x:f>
        <x:v>Monthly salary credited</x:v>
      </x:c>
    </x:row>
    <x:row r="62">
      <x:c r="A62" s="2">
        <x:f>'Raw Data'!A62</x:f>
        <x:v>46144</x:v>
      </x:c>
      <x:c r="B62" t="str">
        <x:f>TRIM('Raw Data'!B62)</x:f>
        <x:v>May-26</x:v>
      </x:c>
      <x:c r="C62">
        <x:f>TRIM('Raw Data'!C62)</x:f>
      </x:c>
      <x:c r="D62" t="str">
        <x:f>TRIM('Raw Data'!D62)</x:f>
        <x:v>Rent</x:v>
      </x:c>
      <x:c r="E62" t="str">
        <x:f>TRIM('Raw Data'!E62)</x:f>
        <x:v>Fixed</x:v>
      </x:c>
      <x:c r="F62" t="str">
        <x:f>TRIM('Raw Data'!F62)</x:f>
        <x:v>Bank Transfer</x:v>
      </x:c>
      <x:c r="G62" s="3">
        <x:f>ABS('Raw Data'!G62)</x:f>
        <x:v>28000</x:v>
      </x:c>
      <x:c r="H62" t="str">
        <x:f>TRIM('Raw Data'!H62)</x:f>
        <x:v>Expense</x:v>
      </x:c>
      <x:c r="I62" s="3">
        <x:f>IF(H62="Income",G62,-G62)</x:f>
        <x:v>-28000</x:v>
      </x:c>
      <x:c r="J62" s="3">
        <x:f>IF(H62="Expense",SUMIFS('Budget Planning'!$C$2:$C$133,'Budget Planning'!$A$2:$A$133,B62,'Budget Planning'!$B$2:$B$133,D62),0)</x:f>
        <x:v>28000</x:v>
      </x:c>
      <x:c r="K62" s="3">
        <x:f>IF(H62="Expense",J62-SUMIFS($G$2:G62,$B$2:B62,B62,$D$2:D62,D62,$H$2:H62,"Expense"),0)</x:f>
        <x:v>0</x:v>
      </x:c>
      <x:c r="L62" t="str">
        <x:f>'Raw Data'!L62</x:f>
        <x:v>House rent payment</x:v>
      </x:c>
    </x:row>
    <x:row r="63">
      <x:c r="A63" s="2">
        <x:f>'Raw Data'!A63</x:f>
        <x:v>46147</x:v>
      </x:c>
      <x:c r="B63" t="str">
        <x:f>TRIM('Raw Data'!B63)</x:f>
        <x:v>May-26</x:v>
      </x:c>
      <x:c r="C63">
        <x:f>TRIM('Raw Data'!C63)</x:f>
      </x:c>
      <x:c r="D63" t="str">
        <x:f>TRIM('Raw Data'!D63)</x:f>
        <x:v>EMI</x:v>
      </x:c>
      <x:c r="E63" t="str">
        <x:f>TRIM('Raw Data'!E63)</x:f>
        <x:v>Fixed</x:v>
      </x:c>
      <x:c r="F63" t="str">
        <x:f>TRIM('Raw Data'!F63)</x:f>
        <x:v>Bank Transfer</x:v>
      </x:c>
      <x:c r="G63" s="3">
        <x:f>ABS('Raw Data'!G63)</x:f>
        <x:v>9000</x:v>
      </x:c>
      <x:c r="H63" t="str">
        <x:f>TRIM('Raw Data'!H63)</x:f>
        <x:v>Expense</x:v>
      </x:c>
      <x:c r="I63" s="3">
        <x:f>IF(H63="Income",G63,-G63)</x:f>
        <x:v>-9000</x:v>
      </x:c>
      <x:c r="J63" s="3">
        <x:f>IF(H63="Expense",SUMIFS('Budget Planning'!$C$2:$C$133,'Budget Planning'!$A$2:$A$133,B63,'Budget Planning'!$B$2:$B$133,D63),0)</x:f>
        <x:v>9000</x:v>
      </x:c>
      <x:c r="K63" s="3">
        <x:f>IF(H63="Expense",J63-SUMIFS($G$2:G63,$B$2:B63,B63,$D$2:D63,D63,$H$2:H63,"Expense"),0)</x:f>
        <x:v>0</x:v>
      </x:c>
      <x:c r="L63" t="str">
        <x:f>'Raw Data'!L63</x:f>
        <x:v>Personal loan EMI</x:v>
      </x:c>
    </x:row>
    <x:row r="64">
      <x:c r="A64" s="2">
        <x:f>'Raw Data'!A64</x:f>
        <x:v>46149</x:v>
      </x:c>
      <x:c r="B64" t="str">
        <x:f>TRIM('Raw Data'!B64)</x:f>
        <x:v>May-26</x:v>
      </x:c>
      <x:c r="C64">
        <x:f>TRIM('Raw Data'!C64)</x:f>
      </x:c>
      <x:c r="D64" t="str">
        <x:f>TRIM('Raw Data'!D64)</x:f>
        <x:v>Groceries</x:v>
      </x:c>
      <x:c r="E64" t="str">
        <x:f>TRIM('Raw Data'!E64)</x:f>
        <x:v>Variable</x:v>
      </x:c>
      <x:c r="F64" t="str">
        <x:f>TRIM('Raw Data'!F64)</x:f>
        <x:v>UPI</x:v>
      </x:c>
      <x:c r="G64" s="3">
        <x:f>ABS('Raw Data'!G64)</x:f>
        <x:v>2938</x:v>
      </x:c>
      <x:c r="H64" t="str">
        <x:f>TRIM('Raw Data'!H64)</x:f>
        <x:v>Expense</x:v>
      </x:c>
      <x:c r="I64" s="3">
        <x:f>IF(H64="Income",G64,-G64)</x:f>
        <x:v>-2938</x:v>
      </x:c>
      <x:c r="J64" s="3">
        <x:f>IF(H64="Expense",SUMIFS('Budget Planning'!$C$2:$C$133,'Budget Planning'!$A$2:$A$133,B64,'Budget Planning'!$B$2:$B$133,D64),0)</x:f>
        <x:v>7104</x:v>
      </x:c>
      <x:c r="K64" s="3">
        <x:f>IF(H64="Expense",J64-SUMIFS($G$2:G64,$B$2:B64,B64,$D$2:D64,D64,$H$2:H64,"Expense"),0)</x:f>
        <x:v>4166</x:v>
      </x:c>
      <x:c r="L64" t="str">
        <x:f>'Raw Data'!L64</x:f>
        <x:v>Supermarket groceries</x:v>
      </x:c>
    </x:row>
    <x:row r="65">
      <x:c r="A65" s="2">
        <x:f>'Raw Data'!A65</x:f>
        <x:v>46150</x:v>
      </x:c>
      <x:c r="B65" t="str">
        <x:f>TRIM('Raw Data'!B65)</x:f>
        <x:v>May-26</x:v>
      </x:c>
      <x:c r="C65">
        <x:f>TRIM('Raw Data'!C65)</x:f>
      </x:c>
      <x:c r="D65" t="str">
        <x:f>TRIM('Raw Data'!D65)</x:f>
        <x:v>Utilities</x:v>
      </x:c>
      <x:c r="E65" t="str">
        <x:f>TRIM('Raw Data'!E65)</x:f>
        <x:v>Fixed</x:v>
      </x:c>
      <x:c r="F65" t="str">
        <x:f>TRIM('Raw Data'!F65)</x:f>
        <x:v>UPI</x:v>
      </x:c>
      <x:c r="G65" s="3">
        <x:f>ABS('Raw Data'!G65)</x:f>
        <x:v>1607</x:v>
      </x:c>
      <x:c r="H65" t="str">
        <x:f>TRIM('Raw Data'!H65)</x:f>
        <x:v>Expense</x:v>
      </x:c>
      <x:c r="I65" s="3">
        <x:f>IF(H65="Income",G65,-G65)</x:f>
        <x:v>-1607</x:v>
      </x:c>
      <x:c r="J65" s="3">
        <x:f>IF(H65="Expense",SUMIFS('Budget Planning'!$C$2:$C$133,'Budget Planning'!$A$2:$A$133,B65,'Budget Planning'!$B$2:$B$133,D65),0)</x:f>
        <x:v>3941</x:v>
      </x:c>
      <x:c r="K65" s="3">
        <x:f>IF(H65="Expense",J65-SUMIFS($G$2:G65,$B$2:B65,B65,$D$2:D65,D65,$H$2:H65,"Expense"),0)</x:f>
        <x:v>2334</x:v>
      </x:c>
      <x:c r="L65" t="str">
        <x:f>'Raw Data'!L65</x:f>
        <x:v>Electricity bill</x:v>
      </x:c>
    </x:row>
    <x:row r="66">
      <x:c r="A66" s="2">
        <x:f>'Raw Data'!A66</x:f>
        <x:v>46153</x:v>
      </x:c>
      <x:c r="B66" t="str">
        <x:f>TRIM('Raw Data'!B66)</x:f>
        <x:v>May-26</x:v>
      </x:c>
      <x:c r="C66">
        <x:f>TRIM('Raw Data'!C66)</x:f>
      </x:c>
      <x:c r="D66" t="str">
        <x:f>TRIM('Raw Data'!D66)</x:f>
        <x:v>Utilities</x:v>
      </x:c>
      <x:c r="E66" t="str">
        <x:f>TRIM('Raw Data'!E66)</x:f>
        <x:v>Fixed</x:v>
      </x:c>
      <x:c r="F66" t="str">
        <x:f>TRIM('Raw Data'!F66)</x:f>
        <x:v>UPI</x:v>
      </x:c>
      <x:c r="G66" s="3">
        <x:f>ABS('Raw Data'!G66)</x:f>
        <x:v>1272</x:v>
      </x:c>
      <x:c r="H66" t="str">
        <x:f>TRIM('Raw Data'!H66)</x:f>
        <x:v>Expense</x:v>
      </x:c>
      <x:c r="I66" s="3">
        <x:f>IF(H66="Income",G66,-G66)</x:f>
        <x:v>-1272</x:v>
      </x:c>
      <x:c r="J66" s="3">
        <x:f>IF(H66="Expense",SUMIFS('Budget Planning'!$C$2:$C$133,'Budget Planning'!$A$2:$A$133,B66,'Budget Planning'!$B$2:$B$133,D66),0)</x:f>
        <x:v>3941</x:v>
      </x:c>
      <x:c r="K66" s="3">
        <x:f>IF(H66="Expense",J66-SUMIFS($G$2:G66,$B$2:B66,B66,$D$2:D66,D66,$H$2:H66,"Expense"),0)</x:f>
        <x:v>1062</x:v>
      </x:c>
      <x:c r="L66" t="str">
        <x:f>'Raw Data'!L66</x:f>
        <x:v>Internet / mobile bill</x:v>
      </x:c>
    </x:row>
    <x:row r="67">
      <x:c r="A67" s="2">
        <x:f>'Raw Data'!A67</x:f>
        <x:v>46154</x:v>
      </x:c>
      <x:c r="B67" t="str">
        <x:f>TRIM('Raw Data'!B67)</x:f>
        <x:v>May-26</x:v>
      </x:c>
      <x:c r="C67">
        <x:f>TRIM('Raw Data'!C67)</x:f>
      </x:c>
      <x:c r="D67" t="str">
        <x:f>TRIM('Raw Data'!D67)</x:f>
        <x:v>Food</x:v>
      </x:c>
      <x:c r="E67" t="str">
        <x:f>TRIM('Raw Data'!E67)</x:f>
        <x:v>Variable</x:v>
      </x:c>
      <x:c r="F67" t="str">
        <x:f>TRIM('Raw Data'!F67)</x:f>
        <x:v>UPI</x:v>
      </x:c>
      <x:c r="G67" s="3">
        <x:f>ABS('Raw Data'!G67)</x:f>
        <x:v>2252</x:v>
      </x:c>
      <x:c r="H67" t="str">
        <x:f>TRIM('Raw Data'!H67)</x:f>
        <x:v>Expense</x:v>
      </x:c>
      <x:c r="I67" s="3">
        <x:f>IF(H67="Income",G67,-G67)</x:f>
        <x:v>-2252</x:v>
      </x:c>
      <x:c r="J67" s="3">
        <x:f>IF(H67="Expense",SUMIFS('Budget Planning'!$C$2:$C$133,'Budget Planning'!$A$2:$A$133,B67,'Budget Planning'!$B$2:$B$133,D67),0)</x:f>
        <x:v>6636</x:v>
      </x:c>
      <x:c r="K67" s="3">
        <x:f>IF(H67="Expense",J67-SUMIFS($G$2:G67,$B$2:B67,B67,$D$2:D67,D67,$H$2:H67,"Expense"),0)</x:f>
        <x:v>4384</x:v>
      </x:c>
      <x:c r="L67" t="str">
        <x:f>'Raw Data'!L67</x:f>
        <x:v>Dining out / office lunch</x:v>
      </x:c>
    </x:row>
    <x:row r="68">
      <x:c r="A68" s="2">
        <x:f>'Raw Data'!A68</x:f>
        <x:v>46158</x:v>
      </x:c>
      <x:c r="B68" t="str">
        <x:f>TRIM('Raw Data'!B68)</x:f>
        <x:v>May-26</x:v>
      </x:c>
      <x:c r="C68">
        <x:f>TRIM('Raw Data'!C68)</x:f>
      </x:c>
      <x:c r="D68" t="str">
        <x:f>TRIM('Raw Data'!D68)</x:f>
        <x:v>Shopping</x:v>
      </x:c>
      <x:c r="E68" t="str">
        <x:f>TRIM('Raw Data'!E68)</x:f>
        <x:v>Variable</x:v>
      </x:c>
      <x:c r="F68" t="str">
        <x:f>TRIM('Raw Data'!F68)</x:f>
        <x:v>Credit Card</x:v>
      </x:c>
      <x:c r="G68" s="3">
        <x:f>ABS('Raw Data'!G68)</x:f>
        <x:v>6177</x:v>
      </x:c>
      <x:c r="H68" t="str">
        <x:f>TRIM('Raw Data'!H68)</x:f>
        <x:v>Expense</x:v>
      </x:c>
      <x:c r="I68" s="3">
        <x:f>IF(H68="Income",G68,-G68)</x:f>
        <x:v>-6177</x:v>
      </x:c>
      <x:c r="J68" s="3">
        <x:f>IF(H68="Expense",SUMIFS('Budget Planning'!$C$2:$C$133,'Budget Planning'!$A$2:$A$133,B68,'Budget Planning'!$B$2:$B$133,D68),0)</x:f>
        <x:v>4488</x:v>
      </x:c>
      <x:c r="K68" s="3">
        <x:f>IF(H68="Expense",J68-SUMIFS($G$2:G68,$B$2:B68,B68,$D$2:D68,D68,$H$2:H68,"Expense"),0)</x:f>
        <x:v>-1689</x:v>
      </x:c>
      <x:c r="L68" t="str">
        <x:f>'Raw Data'!L68</x:f>
        <x:v>Apparel / lifestyle purchase</x:v>
      </x:c>
    </x:row>
    <x:row r="69">
      <x:c r="A69" s="2">
        <x:f>'Raw Data'!A69</x:f>
        <x:v>46160</x:v>
      </x:c>
      <x:c r="B69" t="str">
        <x:f>TRIM('Raw Data'!B69)</x:f>
        <x:v>May-26</x:v>
      </x:c>
      <x:c r="C69">
        <x:f>TRIM('Raw Data'!C69)</x:f>
      </x:c>
      <x:c r="D69" t="str">
        <x:f>TRIM('Raw Data'!D69)</x:f>
        <x:v>Entertainment</x:v>
      </x:c>
      <x:c r="E69" t="str">
        <x:f>TRIM('Raw Data'!E69)</x:f>
        <x:v>Variable</x:v>
      </x:c>
      <x:c r="F69" t="str">
        <x:f>TRIM('Raw Data'!F69)</x:f>
        <x:v>Credit Card</x:v>
      </x:c>
      <x:c r="G69" s="3">
        <x:f>ABS('Raw Data'!G69)</x:f>
        <x:v>1338</x:v>
      </x:c>
      <x:c r="H69" t="str">
        <x:f>TRIM('Raw Data'!H69)</x:f>
        <x:v>Expense</x:v>
      </x:c>
      <x:c r="I69" s="3">
        <x:f>IF(H69="Income",G69,-G69)</x:f>
        <x:v>-1338</x:v>
      </x:c>
      <x:c r="J69" s="3">
        <x:f>IF(H69="Expense",SUMIFS('Budget Planning'!$C$2:$C$133,'Budget Planning'!$A$2:$A$133,B69,'Budget Planning'!$B$2:$B$133,D69),0)</x:f>
        <x:v>3340</x:v>
      </x:c>
      <x:c r="K69" s="3">
        <x:f>IF(H69="Expense",J69-SUMIFS($G$2:G69,$B$2:B69,B69,$D$2:D69,D69,$H$2:H69,"Expense"),0)</x:f>
        <x:v>2002</x:v>
      </x:c>
      <x:c r="L69" t="str">
        <x:f>'Raw Data'!L69</x:f>
        <x:v>Movies / subscriptions</x:v>
      </x:c>
    </x:row>
    <x:row r="70">
      <x:c r="A70" s="2">
        <x:f>'Raw Data'!A70</x:f>
        <x:v>46163</x:v>
      </x:c>
      <x:c r="B70" t="str">
        <x:f>TRIM('Raw Data'!B70)</x:f>
        <x:v>May-26</x:v>
      </x:c>
      <x:c r="C70">
        <x:f>TRIM('Raw Data'!C70)</x:f>
      </x:c>
      <x:c r="D70" t="str">
        <x:f>TRIM('Raw Data'!D70)</x:f>
        <x:v>Groceries</x:v>
      </x:c>
      <x:c r="E70" t="str">
        <x:f>TRIM('Raw Data'!E70)</x:f>
        <x:v>Variable</x:v>
      </x:c>
      <x:c r="F70" t="str">
        <x:f>TRIM('Raw Data'!F70)</x:f>
        <x:v>UPI</x:v>
      </x:c>
      <x:c r="G70" s="3">
        <x:f>ABS('Raw Data'!G70)</x:f>
        <x:v>3476</x:v>
      </x:c>
      <x:c r="H70" t="str">
        <x:f>TRIM('Raw Data'!H70)</x:f>
        <x:v>Expense</x:v>
      </x:c>
      <x:c r="I70" s="3">
        <x:f>IF(H70="Income",G70,-G70)</x:f>
        <x:v>-3476</x:v>
      </x:c>
      <x:c r="J70" s="3">
        <x:f>IF(H70="Expense",SUMIFS('Budget Planning'!$C$2:$C$133,'Budget Planning'!$A$2:$A$133,B70,'Budget Planning'!$B$2:$B$133,D70),0)</x:f>
        <x:v>7104</x:v>
      </x:c>
      <x:c r="K70" s="3">
        <x:f>IF(H70="Expense",J70-SUMIFS($G$2:G70,$B$2:B70,B70,$D$2:D70,D70,$H$2:H70,"Expense"),0)</x:f>
        <x:v>690</x:v>
      </x:c>
      <x:c r="L70" t="str">
        <x:f>'Raw Data'!L70</x:f>
        <x:v>Monthly essentials restock</x:v>
      </x:c>
    </x:row>
    <x:row r="71">
      <x:c r="A71" s="2">
        <x:f>'Raw Data'!A71</x:f>
        <x:v>46165</x:v>
      </x:c>
      <x:c r="B71" t="str">
        <x:f>TRIM('Raw Data'!B71)</x:f>
        <x:v>May-26</x:v>
      </x:c>
      <x:c r="C71">
        <x:f>TRIM('Raw Data'!C71)</x:f>
      </x:c>
      <x:c r="D71" t="str">
        <x:f>TRIM('Raw Data'!D71)</x:f>
        <x:v>Shopping</x:v>
      </x:c>
      <x:c r="E71" t="str">
        <x:f>TRIM('Raw Data'!E71)</x:f>
        <x:v>Variable</x:v>
      </x:c>
      <x:c r="F71" t="str">
        <x:f>TRIM('Raw Data'!F71)</x:f>
        <x:v>UPI</x:v>
      </x:c>
      <x:c r="G71" s="3">
        <x:f>ABS('Raw Data'!G71)</x:f>
        <x:v>4190</x:v>
      </x:c>
      <x:c r="H71" t="str">
        <x:f>TRIM('Raw Data'!H71)</x:f>
        <x:v>Expense</x:v>
      </x:c>
      <x:c r="I71" s="3">
        <x:f>IF(H71="Income",G71,-G71)</x:f>
        <x:v>-4190</x:v>
      </x:c>
      <x:c r="J71" s="3">
        <x:f>IF(H71="Expense",SUMIFS('Budget Planning'!$C$2:$C$133,'Budget Planning'!$A$2:$A$133,B71,'Budget Planning'!$B$2:$B$133,D71),0)</x:f>
        <x:v>4488</x:v>
      </x:c>
      <x:c r="K71" s="3">
        <x:f>IF(H71="Expense",J71-SUMIFS($G$2:G71,$B$2:B71,B71,$D$2:D71,D71,$H$2:H71,"Expense"),0)</x:f>
        <x:v>-5879</x:v>
      </x:c>
      <x:c r="L71" t="str">
        <x:f>'Raw Data'!L71</x:f>
        <x:v>Seasonal / festive shopping</x:v>
      </x:c>
    </x:row>
    <x:row r="72">
      <x:c r="A72" s="2">
        <x:f>'Raw Data'!A72</x:f>
        <x:v>46167</x:v>
      </x:c>
      <x:c r="B72" t="str">
        <x:f>TRIM('Raw Data'!B72)</x:f>
        <x:v>May-26</x:v>
      </x:c>
      <x:c r="C72">
        <x:f>TRIM('Raw Data'!C72)</x:f>
      </x:c>
      <x:c r="D72" t="str">
        <x:f>TRIM('Raw Data'!D72)</x:f>
        <x:v>Food</x:v>
      </x:c>
      <x:c r="E72" t="str">
        <x:f>TRIM('Raw Data'!E72)</x:f>
        <x:v>Variable</x:v>
      </x:c>
      <x:c r="F72" t="str">
        <x:f>TRIM('Raw Data'!F72)</x:f>
        <x:v>Cash</x:v>
      </x:c>
      <x:c r="G72" s="3">
        <x:f>ABS('Raw Data'!G72)</x:f>
        <x:v>1770</x:v>
      </x:c>
      <x:c r="H72" t="str">
        <x:f>TRIM('Raw Data'!H72)</x:f>
        <x:v>Expense</x:v>
      </x:c>
      <x:c r="I72" s="3">
        <x:f>IF(H72="Income",G72,-G72)</x:f>
        <x:v>-1770</x:v>
      </x:c>
      <x:c r="J72" s="3">
        <x:f>IF(H72="Expense",SUMIFS('Budget Planning'!$C$2:$C$133,'Budget Planning'!$A$2:$A$133,B72,'Budget Planning'!$B$2:$B$133,D72),0)</x:f>
        <x:v>6636</x:v>
      </x:c>
      <x:c r="K72" s="3">
        <x:f>IF(H72="Expense",J72-SUMIFS($G$2:G72,$B$2:B72,B72,$D$2:D72,D72,$H$2:H72,"Expense"),0)</x:f>
        <x:v>2614</x:v>
      </x:c>
      <x:c r="L72" t="str">
        <x:f>'Raw Data'!L72</x:f>
        <x:v>Weekend food order</x:v>
      </x:c>
    </x:row>
    <x:row r="73">
      <x:c r="A73" s="2">
        <x:f>'Raw Data'!A73</x:f>
        <x:v>46168</x:v>
      </x:c>
      <x:c r="B73" t="str">
        <x:f>TRIM('Raw Data'!B73)</x:f>
        <x:v>May-26</x:v>
      </x:c>
      <x:c r="C73">
        <x:f>TRIM('Raw Data'!C73)</x:f>
      </x:c>
      <x:c r="D73" t="str">
        <x:f>TRIM('Raw Data'!D73)</x:f>
        <x:v>Healthcare</x:v>
      </x:c>
      <x:c r="E73" t="str">
        <x:f>TRIM('Raw Data'!E73)</x:f>
        <x:v>Variable</x:v>
      </x:c>
      <x:c r="F73" t="str">
        <x:f>TRIM('Raw Data'!F73)</x:f>
        <x:v>Bank Transfer</x:v>
      </x:c>
      <x:c r="G73" s="3">
        <x:f>ABS('Raw Data'!G73)</x:f>
        <x:v>4507</x:v>
      </x:c>
      <x:c r="H73" t="str">
        <x:f>TRIM('Raw Data'!H73)</x:f>
        <x:v>Expense</x:v>
      </x:c>
      <x:c r="I73" s="3">
        <x:f>IF(H73="Income",G73,-G73)</x:f>
        <x:v>-4507</x:v>
      </x:c>
      <x:c r="J73" s="3">
        <x:f>IF(H73="Expense",SUMIFS('Budget Planning'!$C$2:$C$133,'Budget Planning'!$A$2:$A$133,B73,'Budget Planning'!$B$2:$B$133,D73),0)</x:f>
        <x:v>3498</x:v>
      </x:c>
      <x:c r="K73" s="3">
        <x:f>IF(H73="Expense",J73-SUMIFS($G$2:G73,$B$2:B73,B73,$D$2:D73,D73,$H$2:H73,"Expense"),0)</x:f>
        <x:v>-1009</x:v>
      </x:c>
      <x:c r="L73" t="str">
        <x:f>'Raw Data'!L73</x:f>
        <x:v>Medicines / doctor consultation</x:v>
      </x:c>
    </x:row>
    <x:row r="74">
      <x:c r="A74" s="2">
        <x:f>'Raw Data'!A74</x:f>
        <x:v>46168</x:v>
      </x:c>
      <x:c r="B74" t="str">
        <x:f>TRIM('Raw Data'!B74)</x:f>
        <x:v>May-26</x:v>
      </x:c>
      <x:c r="C74">
        <x:f>TRIM('Raw Data'!C74)</x:f>
      </x:c>
      <x:c r="D74" t="str">
        <x:f>TRIM('Raw Data'!D74)</x:f>
        <x:v>Education</x:v>
      </x:c>
      <x:c r="E74" t="str">
        <x:f>TRIM('Raw Data'!E74)</x:f>
        <x:v>Variable</x:v>
      </x:c>
      <x:c r="F74" t="str">
        <x:f>TRIM('Raw Data'!F74)</x:f>
        <x:v>Credit Card</x:v>
      </x:c>
      <x:c r="G74" s="3">
        <x:f>ABS('Raw Data'!G74)</x:f>
        <x:v>2579</x:v>
      </x:c>
      <x:c r="H74" t="str">
        <x:f>TRIM('Raw Data'!H74)</x:f>
        <x:v>Expense</x:v>
      </x:c>
      <x:c r="I74" s="3">
        <x:f>IF(H74="Income",G74,-G74)</x:f>
        <x:v>-2579</x:v>
      </x:c>
      <x:c r="J74" s="3">
        <x:f>IF(H74="Expense",SUMIFS('Budget Planning'!$C$2:$C$133,'Budget Planning'!$A$2:$A$133,B74,'Budget Planning'!$B$2:$B$133,D74),0)</x:f>
        <x:v>2675</x:v>
      </x:c>
      <x:c r="K74" s="3">
        <x:f>IF(H74="Expense",J74-SUMIFS($G$2:G74,$B$2:B74,B74,$D$2:D74,D74,$H$2:H74,"Expense"),0)</x:f>
        <x:v>96</x:v>
      </x:c>
      <x:c r="L74" t="str">
        <x:f>'Raw Data'!L74</x:f>
        <x:v>Course / books / certification</x:v>
      </x:c>
    </x:row>
    <x:row r="75">
      <x:c r="A75" s="2">
        <x:f>'Raw Data'!A75</x:f>
        <x:v>46174</x:v>
      </x:c>
      <x:c r="B75" t="str">
        <x:f>TRIM('Raw Data'!B75)</x:f>
        <x:v>Jun-26</x:v>
      </x:c>
      <x:c r="C75" t="str">
        <x:f>TRIM('Raw Data'!C75)</x:f>
        <x:v>Salary</x:v>
      </x:c>
      <x:c r="D75">
        <x:f>TRIM('Raw Data'!D75)</x:f>
      </x:c>
      <x:c r="E75" t="str">
        <x:f>TRIM('Raw Data'!E75)</x:f>
        <x:v>N/A</x:v>
      </x:c>
      <x:c r="F75" t="str">
        <x:f>TRIM('Raw Data'!F75)</x:f>
        <x:v>Bank Transfer</x:v>
      </x:c>
      <x:c r="G75" s="3">
        <x:f>ABS('Raw Data'!G75)</x:f>
        <x:v>87772</x:v>
      </x:c>
      <x:c r="H75" t="str">
        <x:f>TRIM('Raw Data'!H75)</x:f>
        <x:v>Income</x:v>
      </x:c>
      <x:c r="I75" s="3">
        <x:f>IF(H75="Income",G75,-G75)</x:f>
        <x:v>87772</x:v>
      </x:c>
      <x:c r="J75" s="3">
        <x:f>IF(H75="Expense",SUMIFS('Budget Planning'!$C$2:$C$133,'Budget Planning'!$A$2:$A$133,B75,'Budget Planning'!$B$2:$B$133,D75),0)</x:f>
        <x:v>0</x:v>
      </x:c>
      <x:c r="K75" s="3">
        <x:f>IF(H75="Expense",J75-SUMIFS($G$2:G75,$B$2:B75,B75,$D$2:D75,D75,$H$2:H75,"Expense"),0)</x:f>
        <x:v>0</x:v>
      </x:c>
      <x:c r="L75" t="str">
        <x:f>'Raw Data'!L75</x:f>
        <x:v>Monthly salary credited</x:v>
      </x:c>
    </x:row>
    <x:row r="76">
      <x:c r="A76" s="2">
        <x:f>'Raw Data'!A76</x:f>
        <x:v>46175</x:v>
      </x:c>
      <x:c r="B76" t="str">
        <x:f>TRIM('Raw Data'!B76)</x:f>
        <x:v>Jun-26</x:v>
      </x:c>
      <x:c r="C76">
        <x:f>TRIM('Raw Data'!C76)</x:f>
      </x:c>
      <x:c r="D76" t="str">
        <x:f>TRIM('Raw Data'!D76)</x:f>
        <x:v>Rent</x:v>
      </x:c>
      <x:c r="E76" t="str">
        <x:f>TRIM('Raw Data'!E76)</x:f>
        <x:v>Fixed</x:v>
      </x:c>
      <x:c r="F76" t="str">
        <x:f>TRIM('Raw Data'!F76)</x:f>
        <x:v>Bank Transfer</x:v>
      </x:c>
      <x:c r="G76" s="3">
        <x:f>ABS('Raw Data'!G76)</x:f>
        <x:v>28000</x:v>
      </x:c>
      <x:c r="H76" t="str">
        <x:f>TRIM('Raw Data'!H76)</x:f>
        <x:v>Expense</x:v>
      </x:c>
      <x:c r="I76" s="3">
        <x:f>IF(H76="Income",G76,-G76)</x:f>
        <x:v>-28000</x:v>
      </x:c>
      <x:c r="J76" s="3">
        <x:f>IF(H76="Expense",SUMIFS('Budget Planning'!$C$2:$C$133,'Budget Planning'!$A$2:$A$133,B76,'Budget Planning'!$B$2:$B$133,D76),0)</x:f>
        <x:v>28000</x:v>
      </x:c>
      <x:c r="K76" s="3">
        <x:f>IF(H76="Expense",J76-SUMIFS($G$2:G76,$B$2:B76,B76,$D$2:D76,D76,$H$2:H76,"Expense"),0)</x:f>
        <x:v>0</x:v>
      </x:c>
      <x:c r="L76" t="str">
        <x:f>'Raw Data'!L76</x:f>
        <x:v>House rent payment</x:v>
      </x:c>
    </x:row>
    <x:row r="77">
      <x:c r="A77" s="2">
        <x:f>'Raw Data'!A77</x:f>
        <x:v>46178</x:v>
      </x:c>
      <x:c r="B77" t="str">
        <x:f>TRIM('Raw Data'!B77)</x:f>
        <x:v>Jun-26</x:v>
      </x:c>
      <x:c r="C77">
        <x:f>TRIM('Raw Data'!C77)</x:f>
      </x:c>
      <x:c r="D77" t="str">
        <x:f>TRIM('Raw Data'!D77)</x:f>
        <x:v>EMI</x:v>
      </x:c>
      <x:c r="E77" t="str">
        <x:f>TRIM('Raw Data'!E77)</x:f>
        <x:v>Fixed</x:v>
      </x:c>
      <x:c r="F77" t="str">
        <x:f>TRIM('Raw Data'!F77)</x:f>
        <x:v>Bank Transfer</x:v>
      </x:c>
      <x:c r="G77" s="3">
        <x:f>ABS('Raw Data'!G77)</x:f>
        <x:v>9000</x:v>
      </x:c>
      <x:c r="H77" t="str">
        <x:f>TRIM('Raw Data'!H77)</x:f>
        <x:v>Expense</x:v>
      </x:c>
      <x:c r="I77" s="3">
        <x:f>IF(H77="Income",G77,-G77)</x:f>
        <x:v>-9000</x:v>
      </x:c>
      <x:c r="J77" s="3">
        <x:f>IF(H77="Expense",SUMIFS('Budget Planning'!$C$2:$C$133,'Budget Planning'!$A$2:$A$133,B77,'Budget Planning'!$B$2:$B$133,D77),0)</x:f>
        <x:v>9000</x:v>
      </x:c>
      <x:c r="K77" s="3">
        <x:f>IF(H77="Expense",J77-SUMIFS($G$2:G77,$B$2:B77,B77,$D$2:D77,D77,$H$2:H77,"Expense"),0)</x:f>
        <x:v>0</x:v>
      </x:c>
      <x:c r="L77" t="str">
        <x:f>'Raw Data'!L77</x:f>
        <x:v>Personal loan EMI</x:v>
      </x:c>
    </x:row>
    <x:row r="78">
      <x:c r="A78" s="2">
        <x:f>'Raw Data'!A78</x:f>
        <x:v>46180</x:v>
      </x:c>
      <x:c r="B78" t="str">
        <x:f>TRIM('Raw Data'!B78)</x:f>
        <x:v>Jun-26</x:v>
      </x:c>
      <x:c r="C78">
        <x:f>TRIM('Raw Data'!C78)</x:f>
      </x:c>
      <x:c r="D78" t="str">
        <x:f>TRIM('Raw Data'!D78)</x:f>
        <x:v>Groceries</x:v>
      </x:c>
      <x:c r="E78" t="str">
        <x:f>TRIM('Raw Data'!E78)</x:f>
        <x:v>Variable</x:v>
      </x:c>
      <x:c r="F78" t="str">
        <x:f>TRIM('Raw Data'!F78)</x:f>
        <x:v>Credit Card</x:v>
      </x:c>
      <x:c r="G78" s="3">
        <x:f>ABS('Raw Data'!G78)</x:f>
        <x:v>2924</x:v>
      </x:c>
      <x:c r="H78" t="str">
        <x:f>TRIM('Raw Data'!H78)</x:f>
        <x:v>Expense</x:v>
      </x:c>
      <x:c r="I78" s="3">
        <x:f>IF(H78="Income",G78,-G78)</x:f>
        <x:v>-2924</x:v>
      </x:c>
      <x:c r="J78" s="3">
        <x:f>IF(H78="Expense",SUMIFS('Budget Planning'!$C$2:$C$133,'Budget Planning'!$A$2:$A$133,B78,'Budget Planning'!$B$2:$B$133,D78),0)</x:f>
        <x:v>7000</x:v>
      </x:c>
      <x:c r="K78" s="3">
        <x:f>IF(H78="Expense",J78-SUMIFS($G$2:G78,$B$2:B78,B78,$D$2:D78,D78,$H$2:H78,"Expense"),0)</x:f>
        <x:v>4076</x:v>
      </x:c>
      <x:c r="L78" t="str">
        <x:f>'Raw Data'!L78</x:f>
        <x:v>Supermarket groceries</x:v>
      </x:c>
    </x:row>
    <x:row r="79">
      <x:c r="A79" s="2">
        <x:f>'Raw Data'!A79</x:f>
        <x:v>46181</x:v>
      </x:c>
      <x:c r="B79" t="str">
        <x:f>TRIM('Raw Data'!B79)</x:f>
        <x:v>Jun-26</x:v>
      </x:c>
      <x:c r="C79">
        <x:f>TRIM('Raw Data'!C79)</x:f>
      </x:c>
      <x:c r="D79" t="str">
        <x:f>TRIM('Raw Data'!D79)</x:f>
        <x:v>Utilities</x:v>
      </x:c>
      <x:c r="E79" t="str">
        <x:f>TRIM('Raw Data'!E79)</x:f>
        <x:v>Fixed</x:v>
      </x:c>
      <x:c r="F79" t="str">
        <x:f>TRIM('Raw Data'!F79)</x:f>
        <x:v>UPI</x:v>
      </x:c>
      <x:c r="G79" s="3">
        <x:f>ABS('Raw Data'!G79)</x:f>
        <x:v>2020</x:v>
      </x:c>
      <x:c r="H79" t="str">
        <x:f>TRIM('Raw Data'!H79)</x:f>
        <x:v>Expense</x:v>
      </x:c>
      <x:c r="I79" s="3">
        <x:f>IF(H79="Income",G79,-G79)</x:f>
        <x:v>-2020</x:v>
      </x:c>
      <x:c r="J79" s="3">
        <x:f>IF(H79="Expense",SUMIFS('Budget Planning'!$C$2:$C$133,'Budget Planning'!$A$2:$A$133,B79,'Budget Planning'!$B$2:$B$133,D79),0)</x:f>
        <x:v>4666</x:v>
      </x:c>
      <x:c r="K79" s="3">
        <x:f>IF(H79="Expense",J79-SUMIFS($G$2:G79,$B$2:B79,B79,$D$2:D79,D79,$H$2:H79,"Expense"),0)</x:f>
        <x:v>2646</x:v>
      </x:c>
      <x:c r="L79" t="str">
        <x:f>'Raw Data'!L79</x:f>
        <x:v>Electricity bill</x:v>
      </x:c>
    </x:row>
    <x:row r="80">
      <x:c r="A80" s="2">
        <x:f>'Raw Data'!A80</x:f>
        <x:v>46184</x:v>
      </x:c>
      <x:c r="B80" t="str">
        <x:f>TRIM('Raw Data'!B80)</x:f>
        <x:v>Jun-26</x:v>
      </x:c>
      <x:c r="C80">
        <x:f>TRIM('Raw Data'!C80)</x:f>
      </x:c>
      <x:c r="D80" t="str">
        <x:f>TRIM('Raw Data'!D80)</x:f>
        <x:v>Utilities</x:v>
      </x:c>
      <x:c r="E80" t="str">
        <x:f>TRIM('Raw Data'!E80)</x:f>
        <x:v>Fixed</x:v>
      </x:c>
      <x:c r="F80" t="str">
        <x:f>TRIM('Raw Data'!F80)</x:f>
        <x:v>UPI</x:v>
      </x:c>
      <x:c r="G80" s="3">
        <x:f>ABS('Raw Data'!G80)</x:f>
        <x:v>1678</x:v>
      </x:c>
      <x:c r="H80" t="str">
        <x:f>TRIM('Raw Data'!H80)</x:f>
        <x:v>Expense</x:v>
      </x:c>
      <x:c r="I80" s="3">
        <x:f>IF(H80="Income",G80,-G80)</x:f>
        <x:v>-1678</x:v>
      </x:c>
      <x:c r="J80" s="3">
        <x:f>IF(H80="Expense",SUMIFS('Budget Planning'!$C$2:$C$133,'Budget Planning'!$A$2:$A$133,B80,'Budget Planning'!$B$2:$B$133,D80),0)</x:f>
        <x:v>4666</x:v>
      </x:c>
      <x:c r="K80" s="3">
        <x:f>IF(H80="Expense",J80-SUMIFS($G$2:G80,$B$2:B80,B80,$D$2:D80,D80,$H$2:H80,"Expense"),0)</x:f>
        <x:v>968</x:v>
      </x:c>
      <x:c r="L80" t="str">
        <x:f>'Raw Data'!L80</x:f>
        <x:v>Internet / mobile bill</x:v>
      </x:c>
    </x:row>
    <x:row r="81">
      <x:c r="A81" s="2">
        <x:f>'Raw Data'!A81</x:f>
        <x:v>46185</x:v>
      </x:c>
      <x:c r="B81" t="str">
        <x:f>TRIM('Raw Data'!B81)</x:f>
        <x:v>Jun-26</x:v>
      </x:c>
      <x:c r="C81">
        <x:f>TRIM('Raw Data'!C81)</x:f>
      </x:c>
      <x:c r="D81" t="str">
        <x:f>TRIM('Raw Data'!D81)</x:f>
        <x:v>Food</x:v>
      </x:c>
      <x:c r="E81" t="str">
        <x:f>TRIM('Raw Data'!E81)</x:f>
        <x:v>Variable</x:v>
      </x:c>
      <x:c r="F81" t="str">
        <x:f>TRIM('Raw Data'!F81)</x:f>
        <x:v>UPI</x:v>
      </x:c>
      <x:c r="G81" s="3">
        <x:f>ABS('Raw Data'!G81)</x:f>
        <x:v>1423</x:v>
      </x:c>
      <x:c r="H81" t="str">
        <x:f>TRIM('Raw Data'!H81)</x:f>
        <x:v>Expense</x:v>
      </x:c>
      <x:c r="I81" s="3">
        <x:f>IF(H81="Income",G81,-G81)</x:f>
        <x:v>-1423</x:v>
      </x:c>
      <x:c r="J81" s="3">
        <x:f>IF(H81="Expense",SUMIFS('Budget Planning'!$C$2:$C$133,'Budget Planning'!$A$2:$A$133,B81,'Budget Planning'!$B$2:$B$133,D81),0)</x:f>
        <x:v>6687</x:v>
      </x:c>
      <x:c r="K81" s="3">
        <x:f>IF(H81="Expense",J81-SUMIFS($G$2:G81,$B$2:B81,B81,$D$2:D81,D81,$H$2:H81,"Expense"),0)</x:f>
        <x:v>5264</x:v>
      </x:c>
      <x:c r="L81" t="str">
        <x:f>'Raw Data'!L81</x:f>
        <x:v>Dining out / office lunch</x:v>
      </x:c>
    </x:row>
    <x:row r="82">
      <x:c r="A82" s="2">
        <x:f>'Raw Data'!A82</x:f>
        <x:v>46189</x:v>
      </x:c>
      <x:c r="B82" t="str">
        <x:f>TRIM('Raw Data'!B82)</x:f>
        <x:v>Jun-26</x:v>
      </x:c>
      <x:c r="C82">
        <x:f>TRIM('Raw Data'!C82)</x:f>
      </x:c>
      <x:c r="D82" t="str">
        <x:f>TRIM('Raw Data'!D82)</x:f>
        <x:v>Shopping</x:v>
      </x:c>
      <x:c r="E82" t="str">
        <x:f>TRIM('Raw Data'!E82)</x:f>
        <x:v>Variable</x:v>
      </x:c>
      <x:c r="F82" t="str">
        <x:f>TRIM('Raw Data'!F82)</x:f>
        <x:v>Credit Card</x:v>
      </x:c>
      <x:c r="G82" s="3">
        <x:f>ABS('Raw Data'!G82)</x:f>
        <x:v>4956</x:v>
      </x:c>
      <x:c r="H82" t="str">
        <x:f>TRIM('Raw Data'!H82)</x:f>
        <x:v>Expense</x:v>
      </x:c>
      <x:c r="I82" s="3">
        <x:f>IF(H82="Income",G82,-G82)</x:f>
        <x:v>-4956</x:v>
      </x:c>
      <x:c r="J82" s="3">
        <x:f>IF(H82="Expense",SUMIFS('Budget Planning'!$C$2:$C$133,'Budget Planning'!$A$2:$A$133,B82,'Budget Planning'!$B$2:$B$133,D82),0)</x:f>
        <x:v>5140</x:v>
      </x:c>
      <x:c r="K82" s="3">
        <x:f>IF(H82="Expense",J82-SUMIFS($G$2:G82,$B$2:B82,B82,$D$2:D82,D82,$H$2:H82,"Expense"),0)</x:f>
        <x:v>184</x:v>
      </x:c>
      <x:c r="L82" t="str">
        <x:f>'Raw Data'!L82</x:f>
        <x:v>Apparel / lifestyle purchase</x:v>
      </x:c>
    </x:row>
    <x:row r="83">
      <x:c r="A83" s="2">
        <x:f>'Raw Data'!A83</x:f>
        <x:v>46190</x:v>
      </x:c>
      <x:c r="B83" t="str">
        <x:f>TRIM('Raw Data'!B83)</x:f>
        <x:v>Jun-26</x:v>
      </x:c>
      <x:c r="C83">
        <x:f>TRIM('Raw Data'!C83)</x:f>
      </x:c>
      <x:c r="D83" t="str">
        <x:f>TRIM('Raw Data'!D83)</x:f>
        <x:v>Healthcare</x:v>
      </x:c>
      <x:c r="E83" t="str">
        <x:f>TRIM('Raw Data'!E83)</x:f>
        <x:v>Variable</x:v>
      </x:c>
      <x:c r="F83" t="str">
        <x:f>TRIM('Raw Data'!F83)</x:f>
        <x:v>UPI</x:v>
      </x:c>
      <x:c r="G83" s="3">
        <x:f>ABS('Raw Data'!G83)</x:f>
        <x:v>1507</x:v>
      </x:c>
      <x:c r="H83" t="str">
        <x:f>TRIM('Raw Data'!H83)</x:f>
        <x:v>Expense</x:v>
      </x:c>
      <x:c r="I83" s="3">
        <x:f>IF(H83="Income",G83,-G83)</x:f>
        <x:v>-1507</x:v>
      </x:c>
      <x:c r="J83" s="3">
        <x:f>IF(H83="Expense",SUMIFS('Budget Planning'!$C$2:$C$133,'Budget Planning'!$A$2:$A$133,B83,'Budget Planning'!$B$2:$B$133,D83),0)</x:f>
        <x:v>3842</x:v>
      </x:c>
      <x:c r="K83" s="3">
        <x:f>IF(H83="Expense",J83-SUMIFS($G$2:G83,$B$2:B83,B83,$D$2:D83,D83,$H$2:H83,"Expense"),0)</x:f>
        <x:v>2335</x:v>
      </x:c>
      <x:c r="L83" t="str">
        <x:f>'Raw Data'!L83</x:f>
        <x:v>Health and wellness spend</x:v>
      </x:c>
    </x:row>
    <x:row r="84">
      <x:c r="A84" s="2">
        <x:f>'Raw Data'!A84</x:f>
        <x:v>46191</x:v>
      </x:c>
      <x:c r="B84" t="str">
        <x:f>TRIM('Raw Data'!B84)</x:f>
        <x:v>Jun-26</x:v>
      </x:c>
      <x:c r="C84">
        <x:f>TRIM('Raw Data'!C84)</x:f>
      </x:c>
      <x:c r="D84" t="str">
        <x:f>TRIM('Raw Data'!D84)</x:f>
        <x:v>Entertainment</x:v>
      </x:c>
      <x:c r="E84" t="str">
        <x:f>TRIM('Raw Data'!E84)</x:f>
        <x:v>Variable</x:v>
      </x:c>
      <x:c r="F84" t="str">
        <x:f>TRIM('Raw Data'!F84)</x:f>
        <x:v>Cash</x:v>
      </x:c>
      <x:c r="G84" s="3">
        <x:f>ABS('Raw Data'!G84)</x:f>
        <x:v>1818</x:v>
      </x:c>
      <x:c r="H84" t="str">
        <x:f>TRIM('Raw Data'!H84)</x:f>
        <x:v>Expense</x:v>
      </x:c>
      <x:c r="I84" s="3">
        <x:f>IF(H84="Income",G84,-G84)</x:f>
        <x:v>-1818</x:v>
      </x:c>
      <x:c r="J84" s="3">
        <x:f>IF(H84="Expense",SUMIFS('Budget Planning'!$C$2:$C$133,'Budget Planning'!$A$2:$A$133,B84,'Budget Planning'!$B$2:$B$133,D84),0)</x:f>
        <x:v>2793</x:v>
      </x:c>
      <x:c r="K84" s="3">
        <x:f>IF(H84="Expense",J84-SUMIFS($G$2:G84,$B$2:B84,B84,$D$2:D84,D84,$H$2:H84,"Expense"),0)</x:f>
        <x:v>975</x:v>
      </x:c>
      <x:c r="L84" t="str">
        <x:f>'Raw Data'!L84</x:f>
        <x:v>Movies / subscriptions</x:v>
      </x:c>
    </x:row>
    <x:row r="85">
      <x:c r="A85" s="2">
        <x:f>'Raw Data'!A85</x:f>
        <x:v>46191</x:v>
      </x:c>
      <x:c r="B85" t="str">
        <x:f>TRIM('Raw Data'!B85)</x:f>
        <x:v>Jun-26</x:v>
      </x:c>
      <x:c r="C85">
        <x:f>TRIM('Raw Data'!C85)</x:f>
      </x:c>
      <x:c r="D85" t="str">
        <x:f>TRIM('Raw Data'!D85)</x:f>
        <x:v>Travel</x:v>
      </x:c>
      <x:c r="E85" t="str">
        <x:f>TRIM('Raw Data'!E85)</x:f>
        <x:v>Variable</x:v>
      </x:c>
      <x:c r="F85" t="str">
        <x:f>TRIM('Raw Data'!F85)</x:f>
        <x:v>UPI</x:v>
      </x:c>
      <x:c r="G85" s="3">
        <x:f>ABS('Raw Data'!G85)</x:f>
        <x:v>5589</x:v>
      </x:c>
      <x:c r="H85" t="str">
        <x:f>TRIM('Raw Data'!H85)</x:f>
        <x:v>Expense</x:v>
      </x:c>
      <x:c r="I85" s="3">
        <x:f>IF(H85="Income",G85,-G85)</x:f>
        <x:v>-5589</x:v>
      </x:c>
      <x:c r="J85" s="3">
        <x:f>IF(H85="Expense",SUMIFS('Budget Planning'!$C$2:$C$133,'Budget Planning'!$A$2:$A$133,B85,'Budget Planning'!$B$2:$B$133,D85),0)</x:f>
        <x:v>5082</x:v>
      </x:c>
      <x:c r="K85" s="3">
        <x:f>IF(H85="Expense",J85-SUMIFS($G$2:G85,$B$2:B85,B85,$D$2:D85,D85,$H$2:H85,"Expense"),0)</x:f>
        <x:v>-507</x:v>
      </x:c>
      <x:c r="L85" t="str">
        <x:f>'Raw Data'!L85</x:f>
        <x:v>Cab / fuel / local travel</x:v>
      </x:c>
    </x:row>
    <x:row r="86">
      <x:c r="A86" s="2">
        <x:f>'Raw Data'!A86</x:f>
        <x:v>46194</x:v>
      </x:c>
      <x:c r="B86" t="str">
        <x:f>TRIM('Raw Data'!B86)</x:f>
        <x:v>Jun-26</x:v>
      </x:c>
      <x:c r="C86" t="str">
        <x:f>TRIM('Raw Data'!C86)</x:f>
        <x:v>Freelance</x:v>
      </x:c>
      <x:c r="D86">
        <x:f>TRIM('Raw Data'!D86)</x:f>
      </x:c>
      <x:c r="E86" t="str">
        <x:f>TRIM('Raw Data'!E86)</x:f>
        <x:v>N/A</x:v>
      </x:c>
      <x:c r="F86" t="str">
        <x:f>TRIM('Raw Data'!F86)</x:f>
        <x:v>Bank Transfer</x:v>
      </x:c>
      <x:c r="G86" s="3">
        <x:f>ABS('Raw Data'!G86)</x:f>
        <x:v>13588</x:v>
      </x:c>
      <x:c r="H86" t="str">
        <x:f>TRIM('Raw Data'!H86)</x:f>
        <x:v>Income</x:v>
      </x:c>
      <x:c r="I86" s="3">
        <x:f>IF(H86="Income",G86,-G86)</x:f>
        <x:v>13588</x:v>
      </x:c>
      <x:c r="J86" s="3">
        <x:f>IF(H86="Expense",SUMIFS('Budget Planning'!$C$2:$C$133,'Budget Planning'!$A$2:$A$133,B86,'Budget Planning'!$B$2:$B$133,D86),0)</x:f>
        <x:v>0</x:v>
      </x:c>
      <x:c r="K86" s="3">
        <x:f>IF(H86="Expense",J86-SUMIFS($G$2:G86,$B$2:B86,B86,$D$2:D86,D86,$H$2:H86,"Expense"),0)</x:f>
        <x:v>0</x:v>
      </x:c>
      <x:c r="L86" t="str">
        <x:f>'Raw Data'!L86</x:f>
        <x:v>Freelance project payment</x:v>
      </x:c>
    </x:row>
    <x:row r="87">
      <x:c r="A87" s="2">
        <x:f>'Raw Data'!A87</x:f>
        <x:v>46194</x:v>
      </x:c>
      <x:c r="B87" t="str">
        <x:f>TRIM('Raw Data'!B87)</x:f>
        <x:v>Jun-26</x:v>
      </x:c>
      <x:c r="C87">
        <x:f>TRIM('Raw Data'!C87)</x:f>
      </x:c>
      <x:c r="D87" t="str">
        <x:f>TRIM('Raw Data'!D87)</x:f>
        <x:v>Groceries</x:v>
      </x:c>
      <x:c r="E87" t="str">
        <x:f>TRIM('Raw Data'!E87)</x:f>
        <x:v>Variable</x:v>
      </x:c>
      <x:c r="F87" t="str">
        <x:f>TRIM('Raw Data'!F87)</x:f>
        <x:v>Credit Card</x:v>
      </x:c>
      <x:c r="G87" s="3">
        <x:f>ABS('Raw Data'!G87)</x:f>
        <x:v>4291</x:v>
      </x:c>
      <x:c r="H87" t="str">
        <x:f>TRIM('Raw Data'!H87)</x:f>
        <x:v>Expense</x:v>
      </x:c>
      <x:c r="I87" s="3">
        <x:f>IF(H87="Income",G87,-G87)</x:f>
        <x:v>-4291</x:v>
      </x:c>
      <x:c r="J87" s="3">
        <x:f>IF(H87="Expense",SUMIFS('Budget Planning'!$C$2:$C$133,'Budget Planning'!$A$2:$A$133,B87,'Budget Planning'!$B$2:$B$133,D87),0)</x:f>
        <x:v>7000</x:v>
      </x:c>
      <x:c r="K87" s="3">
        <x:f>IF(H87="Expense",J87-SUMIFS($G$2:G87,$B$2:B87,B87,$D$2:D87,D87,$H$2:H87,"Expense"),0)</x:f>
        <x:v>-215</x:v>
      </x:c>
      <x:c r="L87" t="str">
        <x:f>'Raw Data'!L87</x:f>
        <x:v>Monthly essentials restock</x:v>
      </x:c>
    </x:row>
    <x:row r="88">
      <x:c r="A88" s="2">
        <x:f>'Raw Data'!A88</x:f>
        <x:v>46198</x:v>
      </x:c>
      <x:c r="B88" t="str">
        <x:f>TRIM('Raw Data'!B88)</x:f>
        <x:v>Jun-26</x:v>
      </x:c>
      <x:c r="C88">
        <x:f>TRIM('Raw Data'!C88)</x:f>
      </x:c>
      <x:c r="D88" t="str">
        <x:f>TRIM('Raw Data'!D88)</x:f>
        <x:v>Food</x:v>
      </x:c>
      <x:c r="E88" t="str">
        <x:f>TRIM('Raw Data'!E88)</x:f>
        <x:v>Variable</x:v>
      </x:c>
      <x:c r="F88" t="str">
        <x:f>TRIM('Raw Data'!F88)</x:f>
        <x:v>UPI</x:v>
      </x:c>
      <x:c r="G88" s="3">
        <x:f>ABS('Raw Data'!G88)</x:f>
        <x:v>1592</x:v>
      </x:c>
      <x:c r="H88" t="str">
        <x:f>TRIM('Raw Data'!H88)</x:f>
        <x:v>Expense</x:v>
      </x:c>
      <x:c r="I88" s="3">
        <x:f>IF(H88="Income",G88,-G88)</x:f>
        <x:v>-1592</x:v>
      </x:c>
      <x:c r="J88" s="3">
        <x:f>IF(H88="Expense",SUMIFS('Budget Planning'!$C$2:$C$133,'Budget Planning'!$A$2:$A$133,B88,'Budget Planning'!$B$2:$B$133,D88),0)</x:f>
        <x:v>6687</x:v>
      </x:c>
      <x:c r="K88" s="3">
        <x:f>IF(H88="Expense",J88-SUMIFS($G$2:G88,$B$2:B88,B88,$D$2:D88,D88,$H$2:H88,"Expense"),0)</x:f>
        <x:v>3672</x:v>
      </x:c>
      <x:c r="L88" t="str">
        <x:f>'Raw Data'!L88</x:f>
        <x:v>Weekend food order</x:v>
      </x:c>
    </x:row>
    <x:row r="89">
      <x:c r="A89" s="2">
        <x:f>'Raw Data'!A89</x:f>
        <x:v>46200</x:v>
      </x:c>
      <x:c r="B89" t="str">
        <x:f>TRIM('Raw Data'!B89)</x:f>
        <x:v>Jun-26</x:v>
      </x:c>
      <x:c r="C89" t="str">
        <x:f>TRIM('Raw Data'!C89)</x:f>
        <x:v>Interest</x:v>
      </x:c>
      <x:c r="D89">
        <x:f>TRIM('Raw Data'!D89)</x:f>
      </x:c>
      <x:c r="E89" t="str">
        <x:f>TRIM('Raw Data'!E89)</x:f>
        <x:v>N/A</x:v>
      </x:c>
      <x:c r="F89" t="str">
        <x:f>TRIM('Raw Data'!F89)</x:f>
        <x:v>Bank Transfer</x:v>
      </x:c>
      <x:c r="G89" s="3">
        <x:f>ABS('Raw Data'!G89)</x:f>
        <x:v>2667</x:v>
      </x:c>
      <x:c r="H89" t="str">
        <x:f>TRIM('Raw Data'!H89)</x:f>
        <x:v>Income</x:v>
      </x:c>
      <x:c r="I89" s="3">
        <x:f>IF(H89="Income",G89,-G89)</x:f>
        <x:v>2667</x:v>
      </x:c>
      <x:c r="J89" s="3">
        <x:f>IF(H89="Expense",SUMIFS('Budget Planning'!$C$2:$C$133,'Budget Planning'!$A$2:$A$133,B89,'Budget Planning'!$B$2:$B$133,D89),0)</x:f>
        <x:v>0</x:v>
      </x:c>
      <x:c r="K89" s="3">
        <x:f>IF(H89="Expense",J89-SUMIFS($G$2:G89,$B$2:B89,B89,$D$2:D89,D89,$H$2:H89,"Expense"),0)</x:f>
        <x:v>0</x:v>
      </x:c>
      <x:c r="L89" t="str">
        <x:f>'Raw Data'!L89</x:f>
        <x:v>Interest from savings / FD</x:v>
      </x:c>
    </x:row>
    <x:row r="90">
      <x:c r="A90" s="2">
        <x:f>'Raw Data'!A90</x:f>
        <x:v>46204</x:v>
      </x:c>
      <x:c r="B90" t="str">
        <x:f>TRIM('Raw Data'!B90)</x:f>
        <x:v>Jul-26</x:v>
      </x:c>
      <x:c r="C90" t="str">
        <x:f>TRIM('Raw Data'!C90)</x:f>
        <x:v>Salary</x:v>
      </x:c>
      <x:c r="D90">
        <x:f>TRIM('Raw Data'!D90)</x:f>
      </x:c>
      <x:c r="E90" t="str">
        <x:f>TRIM('Raw Data'!E90)</x:f>
        <x:v>N/A</x:v>
      </x:c>
      <x:c r="F90" t="str">
        <x:f>TRIM('Raw Data'!F90)</x:f>
        <x:v>Bank Transfer</x:v>
      </x:c>
      <x:c r="G90" s="3">
        <x:f>ABS('Raw Data'!G90)</x:f>
        <x:v>93619</x:v>
      </x:c>
      <x:c r="H90" t="str">
        <x:f>TRIM('Raw Data'!H90)</x:f>
        <x:v>Income</x:v>
      </x:c>
      <x:c r="I90" s="3">
        <x:f>IF(H90="Income",G90,-G90)</x:f>
        <x:v>93619</x:v>
      </x:c>
      <x:c r="J90" s="3">
        <x:f>IF(H90="Expense",SUMIFS('Budget Planning'!$C$2:$C$133,'Budget Planning'!$A$2:$A$133,B90,'Budget Planning'!$B$2:$B$133,D90),0)</x:f>
        <x:v>0</x:v>
      </x:c>
      <x:c r="K90" s="3">
        <x:f>IF(H90="Expense",J90-SUMIFS($G$2:G90,$B$2:B90,B90,$D$2:D90,D90,$H$2:H90,"Expense"),0)</x:f>
        <x:v>0</x:v>
      </x:c>
      <x:c r="L90" t="str">
        <x:f>'Raw Data'!L90</x:f>
        <x:v>Monthly salary credited</x:v>
      </x:c>
    </x:row>
    <x:row r="91">
      <x:c r="A91" s="2">
        <x:f>'Raw Data'!A91</x:f>
        <x:v>46205</x:v>
      </x:c>
      <x:c r="B91" t="str">
        <x:f>TRIM('Raw Data'!B91)</x:f>
        <x:v>Jul-26</x:v>
      </x:c>
      <x:c r="C91">
        <x:f>TRIM('Raw Data'!C91)</x:f>
      </x:c>
      <x:c r="D91" t="str">
        <x:f>TRIM('Raw Data'!D91)</x:f>
        <x:v>Rent</x:v>
      </x:c>
      <x:c r="E91" t="str">
        <x:f>TRIM('Raw Data'!E91)</x:f>
        <x:v>Fixed</x:v>
      </x:c>
      <x:c r="F91" t="str">
        <x:f>TRIM('Raw Data'!F91)</x:f>
        <x:v>Bank Transfer</x:v>
      </x:c>
      <x:c r="G91" s="3">
        <x:f>ABS('Raw Data'!G91)</x:f>
        <x:v>28000</x:v>
      </x:c>
      <x:c r="H91" t="str">
        <x:f>TRIM('Raw Data'!H91)</x:f>
        <x:v>Expense</x:v>
      </x:c>
      <x:c r="I91" s="3">
        <x:f>IF(H91="Income",G91,-G91)</x:f>
        <x:v>-28000</x:v>
      </x:c>
      <x:c r="J91" s="3">
        <x:f>IF(H91="Expense",SUMIFS('Budget Planning'!$C$2:$C$133,'Budget Planning'!$A$2:$A$133,B91,'Budget Planning'!$B$2:$B$133,D91),0)</x:f>
        <x:v>28000</x:v>
      </x:c>
      <x:c r="K91" s="3">
        <x:f>IF(H91="Expense",J91-SUMIFS($G$2:G91,$B$2:B91,B91,$D$2:D91,D91,$H$2:H91,"Expense"),0)</x:f>
        <x:v>0</x:v>
      </x:c>
      <x:c r="L91" t="str">
        <x:f>'Raw Data'!L91</x:f>
        <x:v>House rent payment</x:v>
      </x:c>
    </x:row>
    <x:row r="92">
      <x:c r="A92" s="2">
        <x:f>'Raw Data'!A92</x:f>
        <x:v>46208</x:v>
      </x:c>
      <x:c r="B92" t="str">
        <x:f>TRIM('Raw Data'!B92)</x:f>
        <x:v>Jul-26</x:v>
      </x:c>
      <x:c r="C92">
        <x:f>TRIM('Raw Data'!C92)</x:f>
      </x:c>
      <x:c r="D92" t="str">
        <x:f>TRIM('Raw Data'!D92)</x:f>
        <x:v>EMI</x:v>
      </x:c>
      <x:c r="E92" t="str">
        <x:f>TRIM('Raw Data'!E92)</x:f>
        <x:v>Fixed</x:v>
      </x:c>
      <x:c r="F92" t="str">
        <x:f>TRIM('Raw Data'!F92)</x:f>
        <x:v>Bank Transfer</x:v>
      </x:c>
      <x:c r="G92" s="3">
        <x:f>ABS('Raw Data'!G92)</x:f>
        <x:v>9000</x:v>
      </x:c>
      <x:c r="H92" t="str">
        <x:f>TRIM('Raw Data'!H92)</x:f>
        <x:v>Expense</x:v>
      </x:c>
      <x:c r="I92" s="3">
        <x:f>IF(H92="Income",G92,-G92)</x:f>
        <x:v>-9000</x:v>
      </x:c>
      <x:c r="J92" s="3">
        <x:f>IF(H92="Expense",SUMIFS('Budget Planning'!$C$2:$C$133,'Budget Planning'!$A$2:$A$133,B92,'Budget Planning'!$B$2:$B$133,D92),0)</x:f>
        <x:v>9000</x:v>
      </x:c>
      <x:c r="K92" s="3">
        <x:f>IF(H92="Expense",J92-SUMIFS($G$2:G92,$B$2:B92,B92,$D$2:D92,D92,$H$2:H92,"Expense"),0)</x:f>
        <x:v>0</x:v>
      </x:c>
      <x:c r="L92" t="str">
        <x:f>'Raw Data'!L92</x:f>
        <x:v>Personal loan EMI</x:v>
      </x:c>
    </x:row>
    <x:row r="93">
      <x:c r="A93" s="2">
        <x:f>'Raw Data'!A93</x:f>
        <x:v>46210</x:v>
      </x:c>
      <x:c r="B93" t="str">
        <x:f>TRIM('Raw Data'!B93)</x:f>
        <x:v>Jul-26</x:v>
      </x:c>
      <x:c r="C93">
        <x:f>TRIM('Raw Data'!C93)</x:f>
      </x:c>
      <x:c r="D93" t="str">
        <x:f>TRIM('Raw Data'!D93)</x:f>
        <x:v>Groceries</x:v>
      </x:c>
      <x:c r="E93" t="str">
        <x:f>TRIM('Raw Data'!E93)</x:f>
        <x:v>Variable</x:v>
      </x:c>
      <x:c r="F93" t="str">
        <x:f>TRIM('Raw Data'!F93)</x:f>
        <x:v>UPI</x:v>
      </x:c>
      <x:c r="G93" s="3">
        <x:f>ABS('Raw Data'!G93)</x:f>
        <x:v>2991</x:v>
      </x:c>
      <x:c r="H93" t="str">
        <x:f>TRIM('Raw Data'!H93)</x:f>
        <x:v>Expense</x:v>
      </x:c>
      <x:c r="I93" s="3">
        <x:f>IF(H93="Income",G93,-G93)</x:f>
        <x:v>-2991</x:v>
      </x:c>
      <x:c r="J93" s="3">
        <x:f>IF(H93="Expense",SUMIFS('Budget Planning'!$C$2:$C$133,'Budget Planning'!$A$2:$A$133,B93,'Budget Planning'!$B$2:$B$133,D93),0)</x:f>
        <x:v>6992</x:v>
      </x:c>
      <x:c r="K93" s="3">
        <x:f>IF(H93="Expense",J93-SUMIFS($G$2:G93,$B$2:B93,B93,$D$2:D93,D93,$H$2:H93,"Expense"),0)</x:f>
        <x:v>4001</x:v>
      </x:c>
      <x:c r="L93" t="str">
        <x:f>'Raw Data'!L93</x:f>
        <x:v>Supermarket groceries</x:v>
      </x:c>
    </x:row>
    <x:row r="94">
      <x:c r="A94" s="2">
        <x:f>'Raw Data'!A94</x:f>
        <x:v>46211</x:v>
      </x:c>
      <x:c r="B94" t="str">
        <x:f>TRIM('Raw Data'!B94)</x:f>
        <x:v>Jul-26</x:v>
      </x:c>
      <x:c r="C94">
        <x:f>TRIM('Raw Data'!C94)</x:f>
      </x:c>
      <x:c r="D94" t="str">
        <x:f>TRIM('Raw Data'!D94)</x:f>
        <x:v>Utilities</x:v>
      </x:c>
      <x:c r="E94" t="str">
        <x:f>TRIM('Raw Data'!E94)</x:f>
        <x:v>Fixed</x:v>
      </x:c>
      <x:c r="F94" t="str">
        <x:f>TRIM('Raw Data'!F94)</x:f>
        <x:v>UPI</x:v>
      </x:c>
      <x:c r="G94" s="3">
        <x:f>ABS('Raw Data'!G94)</x:f>
        <x:v>2163</x:v>
      </x:c>
      <x:c r="H94" t="str">
        <x:f>TRIM('Raw Data'!H94)</x:f>
        <x:v>Expense</x:v>
      </x:c>
      <x:c r="I94" s="3">
        <x:f>IF(H94="Income",G94,-G94)</x:f>
        <x:v>-2163</x:v>
      </x:c>
      <x:c r="J94" s="3">
        <x:f>IF(H94="Expense",SUMIFS('Budget Planning'!$C$2:$C$133,'Budget Planning'!$A$2:$A$133,B94,'Budget Planning'!$B$2:$B$133,D94),0)</x:f>
        <x:v>3876</x:v>
      </x:c>
      <x:c r="K94" s="3">
        <x:f>IF(H94="Expense",J94-SUMIFS($G$2:G94,$B$2:B94,B94,$D$2:D94,D94,$H$2:H94,"Expense"),0)</x:f>
        <x:v>1713</x:v>
      </x:c>
      <x:c r="L94" t="str">
        <x:f>'Raw Data'!L94</x:f>
        <x:v>Electricity bill</x:v>
      </x:c>
    </x:row>
    <x:row r="95">
      <x:c r="A95" s="2">
        <x:f>'Raw Data'!A95</x:f>
        <x:v>46212</x:v>
      </x:c>
      <x:c r="B95" t="str">
        <x:f>TRIM('Raw Data'!B95)</x:f>
        <x:v>Jul-26</x:v>
      </x:c>
      <x:c r="C95">
        <x:f>TRIM('Raw Data'!C95)</x:f>
      </x:c>
      <x:c r="D95" t="str">
        <x:f>TRIM('Raw Data'!D95)</x:f>
        <x:v>Insurance</x:v>
      </x:c>
      <x:c r="E95" t="str">
        <x:f>TRIM('Raw Data'!E95)</x:f>
        <x:v>Fixed</x:v>
      </x:c>
      <x:c r="F95" t="str">
        <x:f>TRIM('Raw Data'!F95)</x:f>
        <x:v>Bank Transfer</x:v>
      </x:c>
      <x:c r="G95" s="3">
        <x:f>ABS('Raw Data'!G95)</x:f>
        <x:v>3500</x:v>
      </x:c>
      <x:c r="H95" t="str">
        <x:f>TRIM('Raw Data'!H95)</x:f>
        <x:v>Expense</x:v>
      </x:c>
      <x:c r="I95" s="3">
        <x:f>IF(H95="Income",G95,-G95)</x:f>
        <x:v>-3500</x:v>
      </x:c>
      <x:c r="J95" s="3">
        <x:f>IF(H95="Expense",SUMIFS('Budget Planning'!$C$2:$C$133,'Budget Planning'!$A$2:$A$133,B95,'Budget Planning'!$B$2:$B$133,D95),0)</x:f>
        <x:v>3500</x:v>
      </x:c>
      <x:c r="K95" s="3">
        <x:f>IF(H95="Expense",J95-SUMIFS($G$2:G95,$B$2:B95,B95,$D$2:D95,D95,$H$2:H95,"Expense"),0)</x:f>
        <x:v>0</x:v>
      </x:c>
      <x:c r="L95" t="str">
        <x:f>'Raw Data'!L95</x:f>
        <x:v>Health insurance premium</x:v>
      </x:c>
    </x:row>
    <x:row r="96">
      <x:c r="A96" s="2">
        <x:f>'Raw Data'!A96</x:f>
        <x:v>46214</x:v>
      </x:c>
      <x:c r="B96" t="str">
        <x:f>TRIM('Raw Data'!B96)</x:f>
        <x:v>Jul-26</x:v>
      </x:c>
      <x:c r="C96">
        <x:f>TRIM('Raw Data'!C96)</x:f>
      </x:c>
      <x:c r="D96" t="str">
        <x:f>TRIM('Raw Data'!D96)</x:f>
        <x:v>Utilities</x:v>
      </x:c>
      <x:c r="E96" t="str">
        <x:f>TRIM('Raw Data'!E96)</x:f>
        <x:v>Fixed</x:v>
      </x:c>
      <x:c r="F96" t="str">
        <x:f>TRIM('Raw Data'!F96)</x:f>
        <x:v>UPI</x:v>
      </x:c>
      <x:c r="G96" s="3">
        <x:f>ABS('Raw Data'!G96)</x:f>
        <x:v>1300</x:v>
      </x:c>
      <x:c r="H96" t="str">
        <x:f>TRIM('Raw Data'!H96)</x:f>
        <x:v>Expense</x:v>
      </x:c>
      <x:c r="I96" s="3">
        <x:f>IF(H96="Income",G96,-G96)</x:f>
        <x:v>-1300</x:v>
      </x:c>
      <x:c r="J96" s="3">
        <x:f>IF(H96="Expense",SUMIFS('Budget Planning'!$C$2:$C$133,'Budget Planning'!$A$2:$A$133,B96,'Budget Planning'!$B$2:$B$133,D96),0)</x:f>
        <x:v>3876</x:v>
      </x:c>
      <x:c r="K96" s="3">
        <x:f>IF(H96="Expense",J96-SUMIFS($G$2:G96,$B$2:B96,B96,$D$2:D96,D96,$H$2:H96,"Expense"),0)</x:f>
        <x:v>413</x:v>
      </x:c>
      <x:c r="L96" t="str">
        <x:f>'Raw Data'!L96</x:f>
        <x:v>Internet / mobile bill</x:v>
      </x:c>
    </x:row>
    <x:row r="97">
      <x:c r="A97" s="2">
        <x:f>'Raw Data'!A97</x:f>
        <x:v>46215</x:v>
      </x:c>
      <x:c r="B97" t="str">
        <x:f>TRIM('Raw Data'!B97)</x:f>
        <x:v>Jul-26</x:v>
      </x:c>
      <x:c r="C97">
        <x:f>TRIM('Raw Data'!C97)</x:f>
      </x:c>
      <x:c r="D97" t="str">
        <x:f>TRIM('Raw Data'!D97)</x:f>
        <x:v>Food</x:v>
      </x:c>
      <x:c r="E97" t="str">
        <x:f>TRIM('Raw Data'!E97)</x:f>
        <x:v>Variable</x:v>
      </x:c>
      <x:c r="F97" t="str">
        <x:f>TRIM('Raw Data'!F97)</x:f>
        <x:v>Credit Card</x:v>
      </x:c>
      <x:c r="G97" s="3">
        <x:f>ABS('Raw Data'!G97)</x:f>
        <x:v>2194</x:v>
      </x:c>
      <x:c r="H97" t="str">
        <x:f>TRIM('Raw Data'!H97)</x:f>
        <x:v>Expense</x:v>
      </x:c>
      <x:c r="I97" s="3">
        <x:f>IF(H97="Income",G97,-G97)</x:f>
        <x:v>-2194</x:v>
      </x:c>
      <x:c r="J97" s="3">
        <x:f>IF(H97="Expense",SUMIFS('Budget Planning'!$C$2:$C$133,'Budget Planning'!$A$2:$A$133,B97,'Budget Planning'!$B$2:$B$133,D97),0)</x:f>
        <x:v>5563</x:v>
      </x:c>
      <x:c r="K97" s="3">
        <x:f>IF(H97="Expense",J97-SUMIFS($G$2:G97,$B$2:B97,B97,$D$2:D97,D97,$H$2:H97,"Expense"),0)</x:f>
        <x:v>3369</x:v>
      </x:c>
      <x:c r="L97" t="str">
        <x:f>'Raw Data'!L97</x:f>
        <x:v>Dining out / office lunch</x:v>
      </x:c>
    </x:row>
    <x:row r="98">
      <x:c r="A98" s="2">
        <x:f>'Raw Data'!A98</x:f>
        <x:v>46219</x:v>
      </x:c>
      <x:c r="B98" t="str">
        <x:f>TRIM('Raw Data'!B98)</x:f>
        <x:v>Jul-26</x:v>
      </x:c>
      <x:c r="C98">
        <x:f>TRIM('Raw Data'!C98)</x:f>
      </x:c>
      <x:c r="D98" t="str">
        <x:f>TRIM('Raw Data'!D98)</x:f>
        <x:v>Shopping</x:v>
      </x:c>
      <x:c r="E98" t="str">
        <x:f>TRIM('Raw Data'!E98)</x:f>
        <x:v>Variable</x:v>
      </x:c>
      <x:c r="F98" t="str">
        <x:f>TRIM('Raw Data'!F98)</x:f>
        <x:v>UPI</x:v>
      </x:c>
      <x:c r="G98" s="3">
        <x:f>ABS('Raw Data'!G98)</x:f>
        <x:v>1517</x:v>
      </x:c>
      <x:c r="H98" t="str">
        <x:f>TRIM('Raw Data'!H98)</x:f>
        <x:v>Expense</x:v>
      </x:c>
      <x:c r="I98" s="3">
        <x:f>IF(H98="Income",G98,-G98)</x:f>
        <x:v>-1517</x:v>
      </x:c>
      <x:c r="J98" s="3">
        <x:f>IF(H98="Expense",SUMIFS('Budget Planning'!$C$2:$C$133,'Budget Planning'!$A$2:$A$133,B98,'Budget Planning'!$B$2:$B$133,D98),0)</x:f>
        <x:v>4606</x:v>
      </x:c>
      <x:c r="K98" s="3">
        <x:f>IF(H98="Expense",J98-SUMIFS($G$2:G98,$B$2:B98,B98,$D$2:D98,D98,$H$2:H98,"Expense"),0)</x:f>
        <x:v>3089</x:v>
      </x:c>
      <x:c r="L98" t="str">
        <x:f>'Raw Data'!L98</x:f>
        <x:v>Apparel / lifestyle purchase</x:v>
      </x:c>
    </x:row>
    <x:row r="99">
      <x:c r="A99" s="2">
        <x:f>'Raw Data'!A99</x:f>
        <x:v>46221</x:v>
      </x:c>
      <x:c r="B99" t="str">
        <x:f>TRIM('Raw Data'!B99)</x:f>
        <x:v>Jul-26</x:v>
      </x:c>
      <x:c r="C99">
        <x:f>TRIM('Raw Data'!C99)</x:f>
      </x:c>
      <x:c r="D99" t="str">
        <x:f>TRIM('Raw Data'!D99)</x:f>
        <x:v>Entertainment</x:v>
      </x:c>
      <x:c r="E99" t="str">
        <x:f>TRIM('Raw Data'!E99)</x:f>
        <x:v>Variable</x:v>
      </x:c>
      <x:c r="F99" t="str">
        <x:f>TRIM('Raw Data'!F99)</x:f>
        <x:v>UPI</x:v>
      </x:c>
      <x:c r="G99" s="3">
        <x:f>ABS('Raw Data'!G99)</x:f>
        <x:v>1237</x:v>
      </x:c>
      <x:c r="H99" t="str">
        <x:f>TRIM('Raw Data'!H99)</x:f>
        <x:v>Expense</x:v>
      </x:c>
      <x:c r="I99" s="3">
        <x:f>IF(H99="Income",G99,-G99)</x:f>
        <x:v>-1237</x:v>
      </x:c>
      <x:c r="J99" s="3">
        <x:f>IF(H99="Expense",SUMIFS('Budget Planning'!$C$2:$C$133,'Budget Planning'!$A$2:$A$133,B99,'Budget Planning'!$B$2:$B$133,D99),0)</x:f>
        <x:v>2969</x:v>
      </x:c>
      <x:c r="K99" s="3">
        <x:f>IF(H99="Expense",J99-SUMIFS($G$2:G99,$B$2:B99,B99,$D$2:D99,D99,$H$2:H99,"Expense"),0)</x:f>
        <x:v>1732</x:v>
      </x:c>
      <x:c r="L99" t="str">
        <x:f>'Raw Data'!L99</x:f>
        <x:v>Movies / subscriptions</x:v>
      </x:c>
    </x:row>
    <x:row r="100">
      <x:c r="A100" s="2">
        <x:f>'Raw Data'!A100</x:f>
        <x:v>46223</x:v>
      </x:c>
      <x:c r="B100" t="str">
        <x:f>TRIM('Raw Data'!B100)</x:f>
        <x:v>Jul-26</x:v>
      </x:c>
      <x:c r="C100">
        <x:f>TRIM('Raw Data'!C100)</x:f>
      </x:c>
      <x:c r="D100" t="str">
        <x:f>TRIM('Raw Data'!D100)</x:f>
        <x:v>Healthcare</x:v>
      </x:c>
      <x:c r="E100" t="str">
        <x:f>TRIM('Raw Data'!E100)</x:f>
        <x:v>Variable</x:v>
      </x:c>
      <x:c r="F100" t="str">
        <x:f>TRIM('Raw Data'!F100)</x:f>
        <x:v>Cash</x:v>
      </x:c>
      <x:c r="G100" s="3">
        <x:f>ABS('Raw Data'!G100)</x:f>
        <x:v>4411</x:v>
      </x:c>
      <x:c r="H100" t="str">
        <x:f>TRIM('Raw Data'!H100)</x:f>
        <x:v>Expense</x:v>
      </x:c>
      <x:c r="I100" s="3">
        <x:f>IF(H100="Income",G100,-G100)</x:f>
        <x:v>-4411</x:v>
      </x:c>
      <x:c r="J100" s="3">
        <x:f>IF(H100="Expense",SUMIFS('Budget Planning'!$C$2:$C$133,'Budget Planning'!$A$2:$A$133,B100,'Budget Planning'!$B$2:$B$133,D100),0)</x:f>
        <x:v>3328</x:v>
      </x:c>
      <x:c r="K100" s="3">
        <x:f>IF(H100="Expense",J100-SUMIFS($G$2:G100,$B$2:B100,B100,$D$2:D100,D100,$H$2:H100,"Expense"),0)</x:f>
        <x:v>-1083</x:v>
      </x:c>
      <x:c r="L100" t="str">
        <x:f>'Raw Data'!L100</x:f>
        <x:v>Medicines / doctor consultation</x:v>
      </x:c>
    </x:row>
    <x:row r="101">
      <x:c r="A101" s="2">
        <x:f>'Raw Data'!A101</x:f>
        <x:v>46224</x:v>
      </x:c>
      <x:c r="B101" t="str">
        <x:f>TRIM('Raw Data'!B101)</x:f>
        <x:v>Jul-26</x:v>
      </x:c>
      <x:c r="C101">
        <x:f>TRIM('Raw Data'!C101)</x:f>
      </x:c>
      <x:c r="D101" t="str">
        <x:f>TRIM('Raw Data'!D101)</x:f>
        <x:v>Groceries</x:v>
      </x:c>
      <x:c r="E101" t="str">
        <x:f>TRIM('Raw Data'!E101)</x:f>
        <x:v>Variable</x:v>
      </x:c>
      <x:c r="F101" t="str">
        <x:f>TRIM('Raw Data'!F101)</x:f>
        <x:v>Credit Card</x:v>
      </x:c>
      <x:c r="G101" s="3">
        <x:f>ABS('Raw Data'!G101)</x:f>
        <x:v>3140</x:v>
      </x:c>
      <x:c r="H101" t="str">
        <x:f>TRIM('Raw Data'!H101)</x:f>
        <x:v>Expense</x:v>
      </x:c>
      <x:c r="I101" s="3">
        <x:f>IF(H101="Income",G101,-G101)</x:f>
        <x:v>-3140</x:v>
      </x:c>
      <x:c r="J101" s="3">
        <x:f>IF(H101="Expense",SUMIFS('Budget Planning'!$C$2:$C$133,'Budget Planning'!$A$2:$A$133,B101,'Budget Planning'!$B$2:$B$133,D101),0)</x:f>
        <x:v>6992</x:v>
      </x:c>
      <x:c r="K101" s="3">
        <x:f>IF(H101="Expense",J101-SUMIFS($G$2:G101,$B$2:B101,B101,$D$2:D101,D101,$H$2:H101,"Expense"),0)</x:f>
        <x:v>861</x:v>
      </x:c>
      <x:c r="L101" t="str">
        <x:f>'Raw Data'!L101</x:f>
        <x:v>Monthly essentials restock</x:v>
      </x:c>
    </x:row>
    <x:row r="102">
      <x:c r="A102" s="2">
        <x:f>'Raw Data'!A102</x:f>
        <x:v>46228</x:v>
      </x:c>
      <x:c r="B102" t="str">
        <x:f>TRIM('Raw Data'!B102)</x:f>
        <x:v>Jul-26</x:v>
      </x:c>
      <x:c r="C102">
        <x:f>TRIM('Raw Data'!C102)</x:f>
      </x:c>
      <x:c r="D102" t="str">
        <x:f>TRIM('Raw Data'!D102)</x:f>
        <x:v>Food</x:v>
      </x:c>
      <x:c r="E102" t="str">
        <x:f>TRIM('Raw Data'!E102)</x:f>
        <x:v>Variable</x:v>
      </x:c>
      <x:c r="F102" t="str">
        <x:f>TRIM('Raw Data'!F102)</x:f>
        <x:v>Credit Card</x:v>
      </x:c>
      <x:c r="G102" s="3">
        <x:f>ABS('Raw Data'!G102)</x:f>
        <x:v>1637</x:v>
      </x:c>
      <x:c r="H102" t="str">
        <x:f>TRIM('Raw Data'!H102)</x:f>
        <x:v>Expense</x:v>
      </x:c>
      <x:c r="I102" s="3">
        <x:f>IF(H102="Income",G102,-G102)</x:f>
        <x:v>-1637</x:v>
      </x:c>
      <x:c r="J102" s="3">
        <x:f>IF(H102="Expense",SUMIFS('Budget Planning'!$C$2:$C$133,'Budget Planning'!$A$2:$A$133,B102,'Budget Planning'!$B$2:$B$133,D102),0)</x:f>
        <x:v>5563</x:v>
      </x:c>
      <x:c r="K102" s="3">
        <x:f>IF(H102="Expense",J102-SUMIFS($G$2:G102,$B$2:B102,B102,$D$2:D102,D102,$H$2:H102,"Expense"),0)</x:f>
        <x:v>1732</x:v>
      </x:c>
      <x:c r="L102" t="str">
        <x:f>'Raw Data'!L102</x:f>
        <x:v>Weekend food order</x:v>
      </x:c>
    </x:row>
    <x:row r="103">
      <x:c r="A103" s="2">
        <x:f>'Raw Data'!A103</x:f>
        <x:v>46235</x:v>
      </x:c>
      <x:c r="B103" t="str">
        <x:f>TRIM('Raw Data'!B103)</x:f>
        <x:v>Aug-26</x:v>
      </x:c>
      <x:c r="C103" t="str">
        <x:f>TRIM('Raw Data'!C103)</x:f>
        <x:v>Salary</x:v>
      </x:c>
      <x:c r="D103">
        <x:f>TRIM('Raw Data'!D103)</x:f>
      </x:c>
      <x:c r="E103" t="str">
        <x:f>TRIM('Raw Data'!E103)</x:f>
        <x:v>N/A</x:v>
      </x:c>
      <x:c r="F103" t="str">
        <x:f>TRIM('Raw Data'!F103)</x:f>
        <x:v>Bank Transfer</x:v>
      </x:c>
      <x:c r="G103" s="3">
        <x:f>ABS('Raw Data'!G103)</x:f>
        <x:v>93431</x:v>
      </x:c>
      <x:c r="H103" t="str">
        <x:f>TRIM('Raw Data'!H103)</x:f>
        <x:v>Income</x:v>
      </x:c>
      <x:c r="I103" s="3">
        <x:f>IF(H103="Income",G103,-G103)</x:f>
        <x:v>93431</x:v>
      </x:c>
      <x:c r="J103" s="3">
        <x:f>IF(H103="Expense",SUMIFS('Budget Planning'!$C$2:$C$133,'Budget Planning'!$A$2:$A$133,B103,'Budget Planning'!$B$2:$B$133,D103),0)</x:f>
        <x:v>0</x:v>
      </x:c>
      <x:c r="K103" s="3">
        <x:f>IF(H103="Expense",J103-SUMIFS($G$2:G103,$B$2:B103,B103,$D$2:D103,D103,$H$2:H103,"Expense"),0)</x:f>
        <x:v>0</x:v>
      </x:c>
      <x:c r="L103" t="str">
        <x:f>'Raw Data'!L103</x:f>
        <x:v>Monthly salary credited</x:v>
      </x:c>
    </x:row>
    <x:row r="104">
      <x:c r="A104" s="2">
        <x:f>'Raw Data'!A104</x:f>
        <x:v>46236</x:v>
      </x:c>
      <x:c r="B104" t="str">
        <x:f>TRIM('Raw Data'!B104)</x:f>
        <x:v>Aug-26</x:v>
      </x:c>
      <x:c r="C104">
        <x:f>TRIM('Raw Data'!C104)</x:f>
      </x:c>
      <x:c r="D104" t="str">
        <x:f>TRIM('Raw Data'!D104)</x:f>
        <x:v>Rent</x:v>
      </x:c>
      <x:c r="E104" t="str">
        <x:f>TRIM('Raw Data'!E104)</x:f>
        <x:v>Fixed</x:v>
      </x:c>
      <x:c r="F104" t="str">
        <x:f>TRIM('Raw Data'!F104)</x:f>
        <x:v>Bank Transfer</x:v>
      </x:c>
      <x:c r="G104" s="3">
        <x:f>ABS('Raw Data'!G104)</x:f>
        <x:v>28000</x:v>
      </x:c>
      <x:c r="H104" t="str">
        <x:f>TRIM('Raw Data'!H104)</x:f>
        <x:v>Expense</x:v>
      </x:c>
      <x:c r="I104" s="3">
        <x:f>IF(H104="Income",G104,-G104)</x:f>
        <x:v>-28000</x:v>
      </x:c>
      <x:c r="J104" s="3">
        <x:f>IF(H104="Expense",SUMIFS('Budget Planning'!$C$2:$C$133,'Budget Planning'!$A$2:$A$133,B104,'Budget Planning'!$B$2:$B$133,D104),0)</x:f>
        <x:v>28000</x:v>
      </x:c>
      <x:c r="K104" s="3">
        <x:f>IF(H104="Expense",J104-SUMIFS($G$2:G104,$B$2:B104,B104,$D$2:D104,D104,$H$2:H104,"Expense"),0)</x:f>
        <x:v>0</x:v>
      </x:c>
      <x:c r="L104" t="str">
        <x:f>'Raw Data'!L104</x:f>
        <x:v>House rent payment</x:v>
      </x:c>
    </x:row>
    <x:row r="105">
      <x:c r="A105" s="2">
        <x:f>'Raw Data'!A105</x:f>
        <x:v>46239</x:v>
      </x:c>
      <x:c r="B105" t="str">
        <x:f>TRIM('Raw Data'!B105)</x:f>
        <x:v>Aug-26</x:v>
      </x:c>
      <x:c r="C105">
        <x:f>TRIM('Raw Data'!C105)</x:f>
      </x:c>
      <x:c r="D105" t="str">
        <x:f>TRIM('Raw Data'!D105)</x:f>
        <x:v>EMI</x:v>
      </x:c>
      <x:c r="E105" t="str">
        <x:f>TRIM('Raw Data'!E105)</x:f>
        <x:v>Fixed</x:v>
      </x:c>
      <x:c r="F105" t="str">
        <x:f>TRIM('Raw Data'!F105)</x:f>
        <x:v>Bank Transfer</x:v>
      </x:c>
      <x:c r="G105" s="3">
        <x:f>ABS('Raw Data'!G105)</x:f>
        <x:v>9000</x:v>
      </x:c>
      <x:c r="H105" t="str">
        <x:f>TRIM('Raw Data'!H105)</x:f>
        <x:v>Expense</x:v>
      </x:c>
      <x:c r="I105" s="3">
        <x:f>IF(H105="Income",G105,-G105)</x:f>
        <x:v>-9000</x:v>
      </x:c>
      <x:c r="J105" s="3">
        <x:f>IF(H105="Expense",SUMIFS('Budget Planning'!$C$2:$C$133,'Budget Planning'!$A$2:$A$133,B105,'Budget Planning'!$B$2:$B$133,D105),0)</x:f>
        <x:v>9000</x:v>
      </x:c>
      <x:c r="K105" s="3">
        <x:f>IF(H105="Expense",J105-SUMIFS($G$2:G105,$B$2:B105,B105,$D$2:D105,D105,$H$2:H105,"Expense"),0)</x:f>
        <x:v>0</x:v>
      </x:c>
      <x:c r="L105" t="str">
        <x:f>'Raw Data'!L105</x:f>
        <x:v>Personal loan EMI</x:v>
      </x:c>
    </x:row>
    <x:row r="106">
      <x:c r="A106" s="2">
        <x:f>'Raw Data'!A106</x:f>
        <x:v>46241</x:v>
      </x:c>
      <x:c r="B106" t="str">
        <x:f>TRIM('Raw Data'!B106)</x:f>
        <x:v>Aug-26</x:v>
      </x:c>
      <x:c r="C106">
        <x:f>TRIM('Raw Data'!C106)</x:f>
      </x:c>
      <x:c r="D106" t="str">
        <x:f>TRIM('Raw Data'!D106)</x:f>
        <x:v>Groceries</x:v>
      </x:c>
      <x:c r="E106" t="str">
        <x:f>TRIM('Raw Data'!E106)</x:f>
        <x:v>Variable</x:v>
      </x:c>
      <x:c r="F106" t="str">
        <x:f>TRIM('Raw Data'!F106)</x:f>
        <x:v>Credit Card</x:v>
      </x:c>
      <x:c r="G106" s="3">
        <x:f>ABS('Raw Data'!G106)</x:f>
        <x:v>3188</x:v>
      </x:c>
      <x:c r="H106" t="str">
        <x:f>TRIM('Raw Data'!H106)</x:f>
        <x:v>Expense</x:v>
      </x:c>
      <x:c r="I106" s="3">
        <x:f>IF(H106="Income",G106,-G106)</x:f>
        <x:v>-3188</x:v>
      </x:c>
      <x:c r="J106" s="3">
        <x:f>IF(H106="Expense",SUMIFS('Budget Planning'!$C$2:$C$133,'Budget Planning'!$A$2:$A$133,B106,'Budget Planning'!$B$2:$B$133,D106),0)</x:f>
        <x:v>7127</x:v>
      </x:c>
      <x:c r="K106" s="3">
        <x:f>IF(H106="Expense",J106-SUMIFS($G$2:G106,$B$2:B106,B106,$D$2:D106,D106,$H$2:H106,"Expense"),0)</x:f>
        <x:v>3939</x:v>
      </x:c>
      <x:c r="L106" t="str">
        <x:f>'Raw Data'!L106</x:f>
        <x:v>Supermarket groceries</x:v>
      </x:c>
    </x:row>
    <x:row r="107">
      <x:c r="A107" s="2">
        <x:f>'Raw Data'!A107</x:f>
        <x:v>46242</x:v>
      </x:c>
      <x:c r="B107" t="str">
        <x:f>TRIM('Raw Data'!B107)</x:f>
        <x:v>Aug-26</x:v>
      </x:c>
      <x:c r="C107">
        <x:f>TRIM('Raw Data'!C107)</x:f>
      </x:c>
      <x:c r="D107" t="str">
        <x:f>TRIM('Raw Data'!D107)</x:f>
        <x:v>Utilities</x:v>
      </x:c>
      <x:c r="E107" t="str">
        <x:f>TRIM('Raw Data'!E107)</x:f>
        <x:v>Fixed</x:v>
      </x:c>
      <x:c r="F107" t="str">
        <x:f>TRIM('Raw Data'!F107)</x:f>
        <x:v>Bank Transfer</x:v>
      </x:c>
      <x:c r="G107" s="3">
        <x:f>ABS('Raw Data'!G107)</x:f>
        <x:v>2313</x:v>
      </x:c>
      <x:c r="H107" t="str">
        <x:f>TRIM('Raw Data'!H107)</x:f>
        <x:v>Expense</x:v>
      </x:c>
      <x:c r="I107" s="3">
        <x:f>IF(H107="Income",G107,-G107)</x:f>
        <x:v>-2313</x:v>
      </x:c>
      <x:c r="J107" s="3">
        <x:f>IF(H107="Expense",SUMIFS('Budget Planning'!$C$2:$C$133,'Budget Planning'!$A$2:$A$133,B107,'Budget Planning'!$B$2:$B$133,D107),0)</x:f>
        <x:v>4772</x:v>
      </x:c>
      <x:c r="K107" s="3">
        <x:f>IF(H107="Expense",J107-SUMIFS($G$2:G107,$B$2:B107,B107,$D$2:D107,D107,$H$2:H107,"Expense"),0)</x:f>
        <x:v>2459</x:v>
      </x:c>
      <x:c r="L107" t="str">
        <x:f>'Raw Data'!L107</x:f>
        <x:v>Electricity bill</x:v>
      </x:c>
    </x:row>
    <x:row r="108">
      <x:c r="A108" s="2">
        <x:f>'Raw Data'!A108</x:f>
        <x:v>46245</x:v>
      </x:c>
      <x:c r="B108" t="str">
        <x:f>TRIM('Raw Data'!B108)</x:f>
        <x:v>Aug-26</x:v>
      </x:c>
      <x:c r="C108">
        <x:f>TRIM('Raw Data'!C108)</x:f>
      </x:c>
      <x:c r="D108" t="str">
        <x:f>TRIM('Raw Data'!D108)</x:f>
        <x:v>Utilities</x:v>
      </x:c>
      <x:c r="E108" t="str">
        <x:f>TRIM('Raw Data'!E108)</x:f>
        <x:v>Fixed</x:v>
      </x:c>
      <x:c r="F108" t="str">
        <x:f>TRIM('Raw Data'!F108)</x:f>
        <x:v>UPI</x:v>
      </x:c>
      <x:c r="G108" s="3">
        <x:f>ABS('Raw Data'!G108)</x:f>
        <x:v>1948</x:v>
      </x:c>
      <x:c r="H108" t="str">
        <x:f>TRIM('Raw Data'!H108)</x:f>
        <x:v>Expense</x:v>
      </x:c>
      <x:c r="I108" s="3">
        <x:f>IF(H108="Income",G108,-G108)</x:f>
        <x:v>-1948</x:v>
      </x:c>
      <x:c r="J108" s="3">
        <x:f>IF(H108="Expense",SUMIFS('Budget Planning'!$C$2:$C$133,'Budget Planning'!$A$2:$A$133,B108,'Budget Planning'!$B$2:$B$133,D108),0)</x:f>
        <x:v>4772</x:v>
      </x:c>
      <x:c r="K108" s="3">
        <x:f>IF(H108="Expense",J108-SUMIFS($G$2:G108,$B$2:B108,B108,$D$2:D108,D108,$H$2:H108,"Expense"),0)</x:f>
        <x:v>511</x:v>
      </x:c>
      <x:c r="L108" t="str">
        <x:f>'Raw Data'!L108</x:f>
        <x:v>Internet / mobile bill</x:v>
      </x:c>
    </x:row>
    <x:row r="109">
      <x:c r="A109" s="2">
        <x:f>'Raw Data'!A109</x:f>
        <x:v>46246</x:v>
      </x:c>
      <x:c r="B109" t="str">
        <x:f>TRIM('Raw Data'!B109)</x:f>
        <x:v>Aug-26</x:v>
      </x:c>
      <x:c r="C109">
        <x:f>TRIM('Raw Data'!C109)</x:f>
      </x:c>
      <x:c r="D109" t="str">
        <x:f>TRIM('Raw Data'!D109)</x:f>
        <x:v>Food</x:v>
      </x:c>
      <x:c r="E109" t="str">
        <x:f>TRIM('Raw Data'!E109)</x:f>
        <x:v>Variable</x:v>
      </x:c>
      <x:c r="F109" t="str">
        <x:f>TRIM('Raw Data'!F109)</x:f>
        <x:v>Cash</x:v>
      </x:c>
      <x:c r="G109" s="3">
        <x:f>ABS('Raw Data'!G109)</x:f>
        <x:v>2386</x:v>
      </x:c>
      <x:c r="H109" t="str">
        <x:f>TRIM('Raw Data'!H109)</x:f>
        <x:v>Expense</x:v>
      </x:c>
      <x:c r="I109" s="3">
        <x:f>IF(H109="Income",G109,-G109)</x:f>
        <x:v>-2386</x:v>
      </x:c>
      <x:c r="J109" s="3">
        <x:f>IF(H109="Expense",SUMIFS('Budget Planning'!$C$2:$C$133,'Budget Planning'!$A$2:$A$133,B109,'Budget Planning'!$B$2:$B$133,D109),0)</x:f>
        <x:v>5829</x:v>
      </x:c>
      <x:c r="K109" s="3">
        <x:f>IF(H109="Expense",J109-SUMIFS($G$2:G109,$B$2:B109,B109,$D$2:D109,D109,$H$2:H109,"Expense"),0)</x:f>
        <x:v>3443</x:v>
      </x:c>
      <x:c r="L109" t="str">
        <x:f>'Raw Data'!L109</x:f>
        <x:v>Dining out / office lunch</x:v>
      </x:c>
    </x:row>
    <x:row r="110">
      <x:c r="A110" s="2">
        <x:f>'Raw Data'!A110</x:f>
        <x:v>46248</x:v>
      </x:c>
      <x:c r="B110" t="str">
        <x:f>TRIM('Raw Data'!B110)</x:f>
        <x:v>Aug-26</x:v>
      </x:c>
      <x:c r="C110">
        <x:f>TRIM('Raw Data'!C110)</x:f>
      </x:c>
      <x:c r="D110" t="str">
        <x:f>TRIM('Raw Data'!D110)</x:f>
        <x:v>Travel</x:v>
      </x:c>
      <x:c r="E110" t="str">
        <x:f>TRIM('Raw Data'!E110)</x:f>
        <x:v>Variable</x:v>
      </x:c>
      <x:c r="F110" t="str">
        <x:f>TRIM('Raw Data'!F110)</x:f>
        <x:v>Credit Card</x:v>
      </x:c>
      <x:c r="G110" s="3">
        <x:f>ABS('Raw Data'!G110)</x:f>
        <x:v>8660</x:v>
      </x:c>
      <x:c r="H110" t="str">
        <x:f>TRIM('Raw Data'!H110)</x:f>
        <x:v>Expense</x:v>
      </x:c>
      <x:c r="I110" s="3">
        <x:f>IF(H110="Income",G110,-G110)</x:f>
        <x:v>-8660</x:v>
      </x:c>
      <x:c r="J110" s="3">
        <x:f>IF(H110="Expense",SUMIFS('Budget Planning'!$C$2:$C$133,'Budget Planning'!$A$2:$A$133,B110,'Budget Planning'!$B$2:$B$133,D110),0)</x:f>
        <x:v>5337</x:v>
      </x:c>
      <x:c r="K110" s="3">
        <x:f>IF(H110="Expense",J110-SUMIFS($G$2:G110,$B$2:B110,B110,$D$2:D110,D110,$H$2:H110,"Expense"),0)</x:f>
        <x:v>-3323</x:v>
      </x:c>
      <x:c r="L110" t="str">
        <x:f>'Raw Data'!L110</x:f>
        <x:v>Short trip / weekend getaway</x:v>
      </x:c>
    </x:row>
    <x:row r="111">
      <x:c r="A111" s="2">
        <x:f>'Raw Data'!A111</x:f>
        <x:v>46249</x:v>
      </x:c>
      <x:c r="B111" t="str">
        <x:f>TRIM('Raw Data'!B111)</x:f>
        <x:v>Aug-26</x:v>
      </x:c>
      <x:c r="C111">
        <x:f>TRIM('Raw Data'!C111)</x:f>
      </x:c>
      <x:c r="D111" t="str">
        <x:f>TRIM('Raw Data'!D111)</x:f>
        <x:v>Healthcare</x:v>
      </x:c>
      <x:c r="E111" t="str">
        <x:f>TRIM('Raw Data'!E111)</x:f>
        <x:v>Variable</x:v>
      </x:c>
      <x:c r="F111" t="str">
        <x:f>TRIM('Raw Data'!F111)</x:f>
        <x:v>Credit Card</x:v>
      </x:c>
      <x:c r="G111" s="3">
        <x:f>ABS('Raw Data'!G111)</x:f>
        <x:v>740</x:v>
      </x:c>
      <x:c r="H111" t="str">
        <x:f>TRIM('Raw Data'!H111)</x:f>
        <x:v>Expense</x:v>
      </x:c>
      <x:c r="I111" s="3">
        <x:f>IF(H111="Income",G111,-G111)</x:f>
        <x:v>-740</x:v>
      </x:c>
      <x:c r="J111" s="3">
        <x:f>IF(H111="Expense",SUMIFS('Budget Planning'!$C$2:$C$133,'Budget Planning'!$A$2:$A$133,B111,'Budget Planning'!$B$2:$B$133,D111),0)</x:f>
        <x:v>3727</x:v>
      </x:c>
      <x:c r="K111" s="3">
        <x:f>IF(H111="Expense",J111-SUMIFS($G$2:G111,$B$2:B111,B111,$D$2:D111,D111,$H$2:H111,"Expense"),0)</x:f>
        <x:v>2987</x:v>
      </x:c>
      <x:c r="L111" t="str">
        <x:f>'Raw Data'!L111</x:f>
        <x:v>Health and wellness spend</x:v>
      </x:c>
    </x:row>
    <x:row r="112">
      <x:c r="A112" s="2">
        <x:f>'Raw Data'!A112</x:f>
        <x:v>46250</x:v>
      </x:c>
      <x:c r="B112" t="str">
        <x:f>TRIM('Raw Data'!B112)</x:f>
        <x:v>Aug-26</x:v>
      </x:c>
      <x:c r="C112">
        <x:f>TRIM('Raw Data'!C112)</x:f>
      </x:c>
      <x:c r="D112" t="str">
        <x:f>TRIM('Raw Data'!D112)</x:f>
        <x:v>Shopping</x:v>
      </x:c>
      <x:c r="E112" t="str">
        <x:f>TRIM('Raw Data'!E112)</x:f>
        <x:v>Variable</x:v>
      </x:c>
      <x:c r="F112" t="str">
        <x:f>TRIM('Raw Data'!F112)</x:f>
        <x:v>Credit Card</x:v>
      </x:c>
      <x:c r="G112" s="3">
        <x:f>ABS('Raw Data'!G112)</x:f>
        <x:v>1910</x:v>
      </x:c>
      <x:c r="H112" t="str">
        <x:f>TRIM('Raw Data'!H112)</x:f>
        <x:v>Expense</x:v>
      </x:c>
      <x:c r="I112" s="3">
        <x:f>IF(H112="Income",G112,-G112)</x:f>
        <x:v>-1910</x:v>
      </x:c>
      <x:c r="J112" s="3">
        <x:f>IF(H112="Expense",SUMIFS('Budget Planning'!$C$2:$C$133,'Budget Planning'!$A$2:$A$133,B112,'Budget Planning'!$B$2:$B$133,D112),0)</x:f>
        <x:v>4946</x:v>
      </x:c>
      <x:c r="K112" s="3">
        <x:f>IF(H112="Expense",J112-SUMIFS($G$2:G112,$B$2:B112,B112,$D$2:D112,D112,$H$2:H112,"Expense"),0)</x:f>
        <x:v>3036</x:v>
      </x:c>
      <x:c r="L112" t="str">
        <x:f>'Raw Data'!L112</x:f>
        <x:v>Apparel / lifestyle purchase</x:v>
      </x:c>
    </x:row>
    <x:row r="113">
      <x:c r="A113" s="2">
        <x:f>'Raw Data'!A113</x:f>
        <x:v>46251</x:v>
      </x:c>
      <x:c r="B113" t="str">
        <x:f>TRIM('Raw Data'!B113)</x:f>
        <x:v>Aug-26</x:v>
      </x:c>
      <x:c r="C113" t="str">
        <x:f>TRIM('Raw Data'!C113)</x:f>
        <x:v>Freelance</x:v>
      </x:c>
      <x:c r="D113">
        <x:f>TRIM('Raw Data'!D113)</x:f>
      </x:c>
      <x:c r="E113" t="str">
        <x:f>TRIM('Raw Data'!E113)</x:f>
        <x:v>N/A</x:v>
      </x:c>
      <x:c r="F113" t="str">
        <x:f>TRIM('Raw Data'!F113)</x:f>
        <x:v>UPI</x:v>
      </x:c>
      <x:c r="G113" s="3">
        <x:f>ABS('Raw Data'!G113)</x:f>
        <x:v>19454</x:v>
      </x:c>
      <x:c r="H113" t="str">
        <x:f>TRIM('Raw Data'!H113)</x:f>
        <x:v>Income</x:v>
      </x:c>
      <x:c r="I113" s="3">
        <x:f>IF(H113="Income",G113,-G113)</x:f>
        <x:v>19454</x:v>
      </x:c>
      <x:c r="J113" s="3">
        <x:f>IF(H113="Expense",SUMIFS('Budget Planning'!$C$2:$C$133,'Budget Planning'!$A$2:$A$133,B113,'Budget Planning'!$B$2:$B$133,D113),0)</x:f>
        <x:v>0</x:v>
      </x:c>
      <x:c r="K113" s="3">
        <x:f>IF(H113="Expense",J113-SUMIFS($G$2:G113,$B$2:B113,B113,$D$2:D113,D113,$H$2:H113,"Expense"),0)</x:f>
        <x:v>0</x:v>
      </x:c>
      <x:c r="L113" t="str">
        <x:f>'Raw Data'!L113</x:f>
        <x:v>Freelance project payment</x:v>
      </x:c>
    </x:row>
    <x:row r="114">
      <x:c r="A114" s="2">
        <x:f>'Raw Data'!A114</x:f>
        <x:v>46252</x:v>
      </x:c>
      <x:c r="B114" t="str">
        <x:f>TRIM('Raw Data'!B114)</x:f>
        <x:v>Aug-26</x:v>
      </x:c>
      <x:c r="C114">
        <x:f>TRIM('Raw Data'!C114)</x:f>
      </x:c>
      <x:c r="D114" t="str">
        <x:f>TRIM('Raw Data'!D114)</x:f>
        <x:v>Entertainment</x:v>
      </x:c>
      <x:c r="E114" t="str">
        <x:f>TRIM('Raw Data'!E114)</x:f>
        <x:v>Variable</x:v>
      </x:c>
      <x:c r="F114" t="str">
        <x:f>TRIM('Raw Data'!F114)</x:f>
        <x:v>Cash</x:v>
      </x:c>
      <x:c r="G114" s="3">
        <x:f>ABS('Raw Data'!G114)</x:f>
        <x:v>1542</x:v>
      </x:c>
      <x:c r="H114" t="str">
        <x:f>TRIM('Raw Data'!H114)</x:f>
        <x:v>Expense</x:v>
      </x:c>
      <x:c r="I114" s="3">
        <x:f>IF(H114="Income",G114,-G114)</x:f>
        <x:v>-1542</x:v>
      </x:c>
      <x:c r="J114" s="3">
        <x:f>IF(H114="Expense",SUMIFS('Budget Planning'!$C$2:$C$133,'Budget Planning'!$A$2:$A$133,B114,'Budget Planning'!$B$2:$B$133,D114),0)</x:f>
        <x:v>3799</x:v>
      </x:c>
      <x:c r="K114" s="3">
        <x:f>IF(H114="Expense",J114-SUMIFS($G$2:G114,$B$2:B114,B114,$D$2:D114,D114,$H$2:H114,"Expense"),0)</x:f>
        <x:v>2257</x:v>
      </x:c>
      <x:c r="L114" t="str">
        <x:f>'Raw Data'!L114</x:f>
        <x:v>Movies / subscriptions</x:v>
      </x:c>
    </x:row>
    <x:row r="115">
      <x:c r="A115" s="2">
        <x:f>'Raw Data'!A115</x:f>
        <x:v>46255</x:v>
      </x:c>
      <x:c r="B115" t="str">
        <x:f>TRIM('Raw Data'!B115)</x:f>
        <x:v>Aug-26</x:v>
      </x:c>
      <x:c r="C115">
        <x:f>TRIM('Raw Data'!C115)</x:f>
      </x:c>
      <x:c r="D115" t="str">
        <x:f>TRIM('Raw Data'!D115)</x:f>
        <x:v>Groceries</x:v>
      </x:c>
      <x:c r="E115" t="str">
        <x:f>TRIM('Raw Data'!E115)</x:f>
        <x:v>Variable</x:v>
      </x:c>
      <x:c r="F115" t="str">
        <x:f>TRIM('Raw Data'!F115)</x:f>
        <x:v>UPI</x:v>
      </x:c>
      <x:c r="G115" s="3">
        <x:f>ABS('Raw Data'!G115)</x:f>
        <x:v>3245</x:v>
      </x:c>
      <x:c r="H115" t="str">
        <x:f>TRIM('Raw Data'!H115)</x:f>
        <x:v>Expense</x:v>
      </x:c>
      <x:c r="I115" s="3">
        <x:f>IF(H115="Income",G115,-G115)</x:f>
        <x:v>-3245</x:v>
      </x:c>
      <x:c r="J115" s="3">
        <x:f>IF(H115="Expense",SUMIFS('Budget Planning'!$C$2:$C$133,'Budget Planning'!$A$2:$A$133,B115,'Budget Planning'!$B$2:$B$133,D115),0)</x:f>
        <x:v>7127</x:v>
      </x:c>
      <x:c r="K115" s="3">
        <x:f>IF(H115="Expense",J115-SUMIFS($G$2:G115,$B$2:B115,B115,$D$2:D115,D115,$H$2:H115,"Expense"),0)</x:f>
        <x:v>694</x:v>
      </x:c>
      <x:c r="L115" t="str">
        <x:f>'Raw Data'!L115</x:f>
        <x:v>Monthly essentials restock</x:v>
      </x:c>
    </x:row>
    <x:row r="116">
      <x:c r="A116" s="2">
        <x:f>'Raw Data'!A116</x:f>
        <x:v>46259</x:v>
      </x:c>
      <x:c r="B116" t="str">
        <x:f>TRIM('Raw Data'!B116)</x:f>
        <x:v>Aug-26</x:v>
      </x:c>
      <x:c r="C116">
        <x:f>TRIM('Raw Data'!C116)</x:f>
      </x:c>
      <x:c r="D116" t="str">
        <x:f>TRIM('Raw Data'!D116)</x:f>
        <x:v>Food</x:v>
      </x:c>
      <x:c r="E116" t="str">
        <x:f>TRIM('Raw Data'!E116)</x:f>
        <x:v>Variable</x:v>
      </x:c>
      <x:c r="F116" t="str">
        <x:f>TRIM('Raw Data'!F116)</x:f>
        <x:v>UPI</x:v>
      </x:c>
      <x:c r="G116" s="3">
        <x:f>ABS('Raw Data'!G116)</x:f>
        <x:v>2310</x:v>
      </x:c>
      <x:c r="H116" t="str">
        <x:f>TRIM('Raw Data'!H116)</x:f>
        <x:v>Expense</x:v>
      </x:c>
      <x:c r="I116" s="3">
        <x:f>IF(H116="Income",G116,-G116)</x:f>
        <x:v>-2310</x:v>
      </x:c>
      <x:c r="J116" s="3">
        <x:f>IF(H116="Expense",SUMIFS('Budget Planning'!$C$2:$C$133,'Budget Planning'!$A$2:$A$133,B116,'Budget Planning'!$B$2:$B$133,D116),0)</x:f>
        <x:v>5829</x:v>
      </x:c>
      <x:c r="K116" s="3">
        <x:f>IF(H116="Expense",J116-SUMIFS($G$2:G116,$B$2:B116,B116,$D$2:D116,D116,$H$2:H116,"Expense"),0)</x:f>
        <x:v>1133</x:v>
      </x:c>
      <x:c r="L116" t="str">
        <x:f>'Raw Data'!L116</x:f>
        <x:v>Weekend food order</x:v>
      </x:c>
    </x:row>
    <x:row r="117">
      <x:c r="A117" s="2">
        <x:f>'Raw Data'!A117</x:f>
        <x:v>46260</x:v>
      </x:c>
      <x:c r="B117" t="str">
        <x:f>TRIM('Raw Data'!B117)</x:f>
        <x:v>Aug-26</x:v>
      </x:c>
      <x:c r="C117">
        <x:f>TRIM('Raw Data'!C117)</x:f>
      </x:c>
      <x:c r="D117" t="str">
        <x:f>TRIM('Raw Data'!D117)</x:f>
        <x:v>Education</x:v>
      </x:c>
      <x:c r="E117" t="str">
        <x:f>TRIM('Raw Data'!E117)</x:f>
        <x:v>Variable</x:v>
      </x:c>
      <x:c r="F117" t="str">
        <x:f>TRIM('Raw Data'!F117)</x:f>
        <x:v>Bank Transfer</x:v>
      </x:c>
      <x:c r="G117" s="3">
        <x:f>ABS('Raw Data'!G117)</x:f>
        <x:v>2078</x:v>
      </x:c>
      <x:c r="H117" t="str">
        <x:f>TRIM('Raw Data'!H117)</x:f>
        <x:v>Expense</x:v>
      </x:c>
      <x:c r="I117" s="3">
        <x:f>IF(H117="Income",G117,-G117)</x:f>
        <x:v>-2078</x:v>
      </x:c>
      <x:c r="J117" s="3">
        <x:f>IF(H117="Expense",SUMIFS('Budget Planning'!$C$2:$C$133,'Budget Planning'!$A$2:$A$133,B117,'Budget Planning'!$B$2:$B$133,D117),0)</x:f>
        <x:v>3147</x:v>
      </x:c>
      <x:c r="K117" s="3">
        <x:f>IF(H117="Expense",J117-SUMIFS($G$2:G117,$B$2:B117,B117,$D$2:D117,D117,$H$2:H117,"Expense"),0)</x:f>
        <x:v>1069</x:v>
      </x:c>
      <x:c r="L117" t="str">
        <x:f>'Raw Data'!L117</x:f>
        <x:v>Course / books / certification</x:v>
      </x:c>
    </x:row>
    <x:row r="118">
      <x:c r="A118" s="2">
        <x:f>'Raw Data'!A118</x:f>
        <x:v>46262</x:v>
      </x:c>
      <x:c r="B118" t="str">
        <x:f>TRIM('Raw Data'!B118)</x:f>
        <x:v>Aug-26</x:v>
      </x:c>
      <x:c r="C118">
        <x:f>TRIM('Raw Data'!C118)</x:f>
      </x:c>
      <x:c r="D118" t="str">
        <x:f>TRIM('Raw Data'!D118)</x:f>
        <x:v>Travel</x:v>
      </x:c>
      <x:c r="E118" t="str">
        <x:f>TRIM('Raw Data'!E118)</x:f>
        <x:v>Variable</x:v>
      </x:c>
      <x:c r="F118" t="str">
        <x:f>TRIM('Raw Data'!F118)</x:f>
        <x:v>Cash</x:v>
      </x:c>
      <x:c r="G118" s="3">
        <x:f>ABS('Raw Data'!G118)</x:f>
        <x:v>6150</x:v>
      </x:c>
      <x:c r="H118" t="str">
        <x:f>TRIM('Raw Data'!H118)</x:f>
        <x:v>Expense</x:v>
      </x:c>
      <x:c r="I118" s="3">
        <x:f>IF(H118="Income",G118,-G118)</x:f>
        <x:v>-6150</x:v>
      </x:c>
      <x:c r="J118" s="3">
        <x:f>IF(H118="Expense",SUMIFS('Budget Planning'!$C$2:$C$133,'Budget Planning'!$A$2:$A$133,B118,'Budget Planning'!$B$2:$B$133,D118),0)</x:f>
        <x:v>5337</x:v>
      </x:c>
      <x:c r="K118" s="3">
        <x:f>IF(H118="Expense",J118-SUMIFS($G$2:G118,$B$2:B118,B118,$D$2:D118,D118,$H$2:H118,"Expense"),0)</x:f>
        <x:v>-9473</x:v>
      </x:c>
      <x:c r="L118" t="str">
        <x:f>'Raw Data'!L118</x:f>
        <x:v>Cab / fuel / local travel</x:v>
      </x:c>
    </x:row>
    <x:row r="119">
      <x:c r="A119" s="2">
        <x:f>'Raw Data'!A119</x:f>
        <x:v>46266</x:v>
      </x:c>
      <x:c r="B119" t="str">
        <x:f>TRIM('Raw Data'!B119)</x:f>
        <x:v>Sep-26</x:v>
      </x:c>
      <x:c r="C119" t="str">
        <x:f>TRIM('Raw Data'!C119)</x:f>
        <x:v>Salary</x:v>
      </x:c>
      <x:c r="D119">
        <x:f>TRIM('Raw Data'!D119)</x:f>
      </x:c>
      <x:c r="E119" t="str">
        <x:f>TRIM('Raw Data'!E119)</x:f>
        <x:v>N/A</x:v>
      </x:c>
      <x:c r="F119" t="str">
        <x:f>TRIM('Raw Data'!F119)</x:f>
        <x:v>Bank Transfer</x:v>
      </x:c>
      <x:c r="G119" s="3">
        <x:f>ABS('Raw Data'!G119)</x:f>
        <x:v>92531</x:v>
      </x:c>
      <x:c r="H119" t="str">
        <x:f>TRIM('Raw Data'!H119)</x:f>
        <x:v>Income</x:v>
      </x:c>
      <x:c r="I119" s="3">
        <x:f>IF(H119="Income",G119,-G119)</x:f>
        <x:v>92531</x:v>
      </x:c>
      <x:c r="J119" s="3">
        <x:f>IF(H119="Expense",SUMIFS('Budget Planning'!$C$2:$C$133,'Budget Planning'!$A$2:$A$133,B119,'Budget Planning'!$B$2:$B$133,D119),0)</x:f>
        <x:v>0</x:v>
      </x:c>
      <x:c r="K119" s="3">
        <x:f>IF(H119="Expense",J119-SUMIFS($G$2:G119,$B$2:B119,B119,$D$2:D119,D119,$H$2:H119,"Expense"),0)</x:f>
        <x:v>0</x:v>
      </x:c>
      <x:c r="L119" t="str">
        <x:f>'Raw Data'!L119</x:f>
        <x:v>Monthly salary credited</x:v>
      </x:c>
    </x:row>
    <x:row r="120">
      <x:c r="A120" s="2">
        <x:f>'Raw Data'!A120</x:f>
        <x:v>46267</x:v>
      </x:c>
      <x:c r="B120" t="str">
        <x:f>TRIM('Raw Data'!B120)</x:f>
        <x:v>Sep-26</x:v>
      </x:c>
      <x:c r="C120">
        <x:f>TRIM('Raw Data'!C120)</x:f>
      </x:c>
      <x:c r="D120" t="str">
        <x:f>TRIM('Raw Data'!D120)</x:f>
        <x:v>Rent</x:v>
      </x:c>
      <x:c r="E120" t="str">
        <x:f>TRIM('Raw Data'!E120)</x:f>
        <x:v>Fixed</x:v>
      </x:c>
      <x:c r="F120" t="str">
        <x:f>TRIM('Raw Data'!F120)</x:f>
        <x:v>Bank Transfer</x:v>
      </x:c>
      <x:c r="G120" s="3">
        <x:f>ABS('Raw Data'!G120)</x:f>
        <x:v>28000</x:v>
      </x:c>
      <x:c r="H120" t="str">
        <x:f>TRIM('Raw Data'!H120)</x:f>
        <x:v>Expense</x:v>
      </x:c>
      <x:c r="I120" s="3">
        <x:f>IF(H120="Income",G120,-G120)</x:f>
        <x:v>-28000</x:v>
      </x:c>
      <x:c r="J120" s="3">
        <x:f>IF(H120="Expense",SUMIFS('Budget Planning'!$C$2:$C$133,'Budget Planning'!$A$2:$A$133,B120,'Budget Planning'!$B$2:$B$133,D120),0)</x:f>
        <x:v>28000</x:v>
      </x:c>
      <x:c r="K120" s="3">
        <x:f>IF(H120="Expense",J120-SUMIFS($G$2:G120,$B$2:B120,B120,$D$2:D120,D120,$H$2:H120,"Expense"),0)</x:f>
        <x:v>0</x:v>
      </x:c>
      <x:c r="L120" t="str">
        <x:f>'Raw Data'!L120</x:f>
        <x:v>House rent payment</x:v>
      </x:c>
    </x:row>
    <x:row r="121">
      <x:c r="A121" s="2">
        <x:f>'Raw Data'!A121</x:f>
        <x:v>46270</x:v>
      </x:c>
      <x:c r="B121" t="str">
        <x:f>TRIM('Raw Data'!B121)</x:f>
        <x:v>Sep-26</x:v>
      </x:c>
      <x:c r="C121">
        <x:f>TRIM('Raw Data'!C121)</x:f>
      </x:c>
      <x:c r="D121" t="str">
        <x:f>TRIM('Raw Data'!D121)</x:f>
        <x:v>EMI</x:v>
      </x:c>
      <x:c r="E121" t="str">
        <x:f>TRIM('Raw Data'!E121)</x:f>
        <x:v>Fixed</x:v>
      </x:c>
      <x:c r="F121" t="str">
        <x:f>TRIM('Raw Data'!F121)</x:f>
        <x:v>Bank Transfer</x:v>
      </x:c>
      <x:c r="G121" s="3">
        <x:f>ABS('Raw Data'!G121)</x:f>
        <x:v>9000</x:v>
      </x:c>
      <x:c r="H121" t="str">
        <x:f>TRIM('Raw Data'!H121)</x:f>
        <x:v>Expense</x:v>
      </x:c>
      <x:c r="I121" s="3">
        <x:f>IF(H121="Income",G121,-G121)</x:f>
        <x:v>-9000</x:v>
      </x:c>
      <x:c r="J121" s="3">
        <x:f>IF(H121="Expense",SUMIFS('Budget Planning'!$C$2:$C$133,'Budget Planning'!$A$2:$A$133,B121,'Budget Planning'!$B$2:$B$133,D121),0)</x:f>
        <x:v>9000</x:v>
      </x:c>
      <x:c r="K121" s="3">
        <x:f>IF(H121="Expense",J121-SUMIFS($G$2:G121,$B$2:B121,B121,$D$2:D121,D121,$H$2:H121,"Expense"),0)</x:f>
        <x:v>0</x:v>
      </x:c>
      <x:c r="L121" t="str">
        <x:f>'Raw Data'!L121</x:f>
        <x:v>Personal loan EMI</x:v>
      </x:c>
    </x:row>
    <x:row r="122">
      <x:c r="A122" s="2">
        <x:f>'Raw Data'!A122</x:f>
        <x:v>46272</x:v>
      </x:c>
      <x:c r="B122" t="str">
        <x:f>TRIM('Raw Data'!B122)</x:f>
        <x:v>Sep-26</x:v>
      </x:c>
      <x:c r="C122">
        <x:f>TRIM('Raw Data'!C122)</x:f>
      </x:c>
      <x:c r="D122" t="str">
        <x:f>TRIM('Raw Data'!D122)</x:f>
        <x:v>Groceries</x:v>
      </x:c>
      <x:c r="E122" t="str">
        <x:f>TRIM('Raw Data'!E122)</x:f>
        <x:v>Variable</x:v>
      </x:c>
      <x:c r="F122" t="str">
        <x:f>TRIM('Raw Data'!F122)</x:f>
        <x:v>Cash</x:v>
      </x:c>
      <x:c r="G122" s="3">
        <x:f>ABS('Raw Data'!G122)</x:f>
        <x:v>3658</x:v>
      </x:c>
      <x:c r="H122" t="str">
        <x:f>TRIM('Raw Data'!H122)</x:f>
        <x:v>Expense</x:v>
      </x:c>
      <x:c r="I122" s="3">
        <x:f>IF(H122="Income",G122,-G122)</x:f>
        <x:v>-3658</x:v>
      </x:c>
      <x:c r="J122" s="3">
        <x:f>IF(H122="Expense",SUMIFS('Budget Planning'!$C$2:$C$133,'Budget Planning'!$A$2:$A$133,B122,'Budget Planning'!$B$2:$B$133,D122),0)</x:f>
        <x:v>7493</x:v>
      </x:c>
      <x:c r="K122" s="3">
        <x:f>IF(H122="Expense",J122-SUMIFS($G$2:G122,$B$2:B122,B122,$D$2:D122,D122,$H$2:H122,"Expense"),0)</x:f>
        <x:v>3835</x:v>
      </x:c>
      <x:c r="L122" t="str">
        <x:f>'Raw Data'!L122</x:f>
        <x:v>Supermarket groceries</x:v>
      </x:c>
    </x:row>
    <x:row r="123">
      <x:c r="A123" s="2">
        <x:f>'Raw Data'!A123</x:f>
        <x:v>46273</x:v>
      </x:c>
      <x:c r="B123" t="str">
        <x:f>TRIM('Raw Data'!B123)</x:f>
        <x:v>Sep-26</x:v>
      </x:c>
      <x:c r="C123">
        <x:f>TRIM('Raw Data'!C123)</x:f>
      </x:c>
      <x:c r="D123" t="str">
        <x:f>TRIM('Raw Data'!D123)</x:f>
        <x:v>Utilities</x:v>
      </x:c>
      <x:c r="E123" t="str">
        <x:f>TRIM('Raw Data'!E123)</x:f>
        <x:v>Fixed</x:v>
      </x:c>
      <x:c r="F123" t="str">
        <x:f>TRIM('Raw Data'!F123)</x:f>
        <x:v>UPI</x:v>
      </x:c>
      <x:c r="G123" s="3">
        <x:f>ABS('Raw Data'!G123)</x:f>
        <x:v>2183</x:v>
      </x:c>
      <x:c r="H123" t="str">
        <x:f>TRIM('Raw Data'!H123)</x:f>
        <x:v>Expense</x:v>
      </x:c>
      <x:c r="I123" s="3">
        <x:f>IF(H123="Income",G123,-G123)</x:f>
        <x:v>-2183</x:v>
      </x:c>
      <x:c r="J123" s="3">
        <x:f>IF(H123="Expense",SUMIFS('Budget Planning'!$C$2:$C$133,'Budget Planning'!$A$2:$A$133,B123,'Budget Planning'!$B$2:$B$133,D123),0)</x:f>
        <x:v>3901</x:v>
      </x:c>
      <x:c r="K123" s="3">
        <x:f>IF(H123="Expense",J123-SUMIFS($G$2:G123,$B$2:B123,B123,$D$2:D123,D123,$H$2:H123,"Expense"),0)</x:f>
        <x:v>1718</x:v>
      </x:c>
      <x:c r="L123" t="str">
        <x:f>'Raw Data'!L123</x:f>
        <x:v>Electricity bill</x:v>
      </x:c>
    </x:row>
    <x:row r="124">
      <x:c r="A124" s="2">
        <x:f>'Raw Data'!A124</x:f>
        <x:v>46276</x:v>
      </x:c>
      <x:c r="B124" t="str">
        <x:f>TRIM('Raw Data'!B124)</x:f>
        <x:v>Sep-26</x:v>
      </x:c>
      <x:c r="C124">
        <x:f>TRIM('Raw Data'!C124)</x:f>
      </x:c>
      <x:c r="D124" t="str">
        <x:f>TRIM('Raw Data'!D124)</x:f>
        <x:v>Utilities</x:v>
      </x:c>
      <x:c r="E124" t="str">
        <x:f>TRIM('Raw Data'!E124)</x:f>
        <x:v>Fixed</x:v>
      </x:c>
      <x:c r="F124" t="str">
        <x:f>TRIM('Raw Data'!F124)</x:f>
        <x:v>UPI</x:v>
      </x:c>
      <x:c r="G124" s="3">
        <x:f>ABS('Raw Data'!G124)</x:f>
        <x:v>1452</x:v>
      </x:c>
      <x:c r="H124" t="str">
        <x:f>TRIM('Raw Data'!H124)</x:f>
        <x:v>Expense</x:v>
      </x:c>
      <x:c r="I124" s="3">
        <x:f>IF(H124="Income",G124,-G124)</x:f>
        <x:v>-1452</x:v>
      </x:c>
      <x:c r="J124" s="3">
        <x:f>IF(H124="Expense",SUMIFS('Budget Planning'!$C$2:$C$133,'Budget Planning'!$A$2:$A$133,B124,'Budget Planning'!$B$2:$B$133,D124),0)</x:f>
        <x:v>3901</x:v>
      </x:c>
      <x:c r="K124" s="3">
        <x:f>IF(H124="Expense",J124-SUMIFS($G$2:G124,$B$2:B124,B124,$D$2:D124,D124,$H$2:H124,"Expense"),0)</x:f>
        <x:v>266</x:v>
      </x:c>
      <x:c r="L124" t="str">
        <x:f>'Raw Data'!L124</x:f>
        <x:v>Internet / mobile bill</x:v>
      </x:c>
    </x:row>
    <x:row r="125">
      <x:c r="A125" s="2">
        <x:f>'Raw Data'!A125</x:f>
        <x:v>46277</x:v>
      </x:c>
      <x:c r="B125" t="str">
        <x:f>TRIM('Raw Data'!B125)</x:f>
        <x:v>Sep-26</x:v>
      </x:c>
      <x:c r="C125">
        <x:f>TRIM('Raw Data'!C125)</x:f>
      </x:c>
      <x:c r="D125" t="str">
        <x:f>TRIM('Raw Data'!D125)</x:f>
        <x:v>Food</x:v>
      </x:c>
      <x:c r="E125" t="str">
        <x:f>TRIM('Raw Data'!E125)</x:f>
        <x:v>Variable</x:v>
      </x:c>
      <x:c r="F125" t="str">
        <x:f>TRIM('Raw Data'!F125)</x:f>
        <x:v>Credit Card</x:v>
      </x:c>
      <x:c r="G125" s="3">
        <x:f>ABS('Raw Data'!G125)</x:f>
        <x:v>2270</x:v>
      </x:c>
      <x:c r="H125" t="str">
        <x:f>TRIM('Raw Data'!H125)</x:f>
        <x:v>Expense</x:v>
      </x:c>
      <x:c r="I125" s="3">
        <x:f>IF(H125="Income",G125,-G125)</x:f>
        <x:v>-2270</x:v>
      </x:c>
      <x:c r="J125" s="3">
        <x:f>IF(H125="Expense",SUMIFS('Budget Planning'!$C$2:$C$133,'Budget Planning'!$A$2:$A$133,B125,'Budget Planning'!$B$2:$B$133,D125),0)</x:f>
        <x:v>6893</x:v>
      </x:c>
      <x:c r="K125" s="3">
        <x:f>IF(H125="Expense",J125-SUMIFS($G$2:G125,$B$2:B125,B125,$D$2:D125,D125,$H$2:H125,"Expense"),0)</x:f>
        <x:v>4623</x:v>
      </x:c>
      <x:c r="L125" t="str">
        <x:f>'Raw Data'!L125</x:f>
        <x:v>Dining out / office lunch</x:v>
      </x:c>
    </x:row>
    <x:row r="126">
      <x:c r="A126" s="2">
        <x:f>'Raw Data'!A126</x:f>
        <x:v>46281</x:v>
      </x:c>
      <x:c r="B126" t="str">
        <x:f>TRIM('Raw Data'!B126)</x:f>
        <x:v>Sep-26</x:v>
      </x:c>
      <x:c r="C126" t="str">
        <x:f>TRIM('Raw Data'!C126)</x:f>
        <x:v>Business</x:v>
      </x:c>
      <x:c r="D126">
        <x:f>TRIM('Raw Data'!D126)</x:f>
      </x:c>
      <x:c r="E126" t="str">
        <x:f>TRIM('Raw Data'!E126)</x:f>
        <x:v>N/A</x:v>
      </x:c>
      <x:c r="F126" t="str">
        <x:f>TRIM('Raw Data'!F126)</x:f>
        <x:v>Bank Transfer</x:v>
      </x:c>
      <x:c r="G126" s="3">
        <x:f>ABS('Raw Data'!G126)</x:f>
        <x:v>18853</x:v>
      </x:c>
      <x:c r="H126" t="str">
        <x:f>TRIM('Raw Data'!H126)</x:f>
        <x:v>Income</x:v>
      </x:c>
      <x:c r="I126" s="3">
        <x:f>IF(H126="Income",G126,-G126)</x:f>
        <x:v>18853</x:v>
      </x:c>
      <x:c r="J126" s="3">
        <x:f>IF(H126="Expense",SUMIFS('Budget Planning'!$C$2:$C$133,'Budget Planning'!$A$2:$A$133,B126,'Budget Planning'!$B$2:$B$133,D126),0)</x:f>
        <x:v>0</x:v>
      </x:c>
      <x:c r="K126" s="3">
        <x:f>IF(H126="Expense",J126-SUMIFS($G$2:G126,$B$2:B126,B126,$D$2:D126,D126,$H$2:H126,"Expense"),0)</x:f>
        <x:v>0</x:v>
      </x:c>
      <x:c r="L126" t="str">
        <x:f>'Raw Data'!L126</x:f>
        <x:v>Small business side income</x:v>
      </x:c>
    </x:row>
    <x:row r="127">
      <x:c r="A127" s="2">
        <x:f>'Raw Data'!A127</x:f>
        <x:v>46281</x:v>
      </x:c>
      <x:c r="B127" t="str">
        <x:f>TRIM('Raw Data'!B127)</x:f>
        <x:v>Sep-26</x:v>
      </x:c>
      <x:c r="C127">
        <x:f>TRIM('Raw Data'!C127)</x:f>
      </x:c>
      <x:c r="D127" t="str">
        <x:f>TRIM('Raw Data'!D127)</x:f>
        <x:v>Shopping</x:v>
      </x:c>
      <x:c r="E127" t="str">
        <x:f>TRIM('Raw Data'!E127)</x:f>
        <x:v>Variable</x:v>
      </x:c>
      <x:c r="F127" t="str">
        <x:f>TRIM('Raw Data'!F127)</x:f>
        <x:v>UPI</x:v>
      </x:c>
      <x:c r="G127" s="3">
        <x:f>ABS('Raw Data'!G127)</x:f>
        <x:v>3455</x:v>
      </x:c>
      <x:c r="H127" t="str">
        <x:f>TRIM('Raw Data'!H127)</x:f>
        <x:v>Expense</x:v>
      </x:c>
      <x:c r="I127" s="3">
        <x:f>IF(H127="Income",G127,-G127)</x:f>
        <x:v>-3455</x:v>
      </x:c>
      <x:c r="J127" s="3">
        <x:f>IF(H127="Expense",SUMIFS('Budget Planning'!$C$2:$C$133,'Budget Planning'!$A$2:$A$133,B127,'Budget Planning'!$B$2:$B$133,D127),0)</x:f>
        <x:v>4734</x:v>
      </x:c>
      <x:c r="K127" s="3">
        <x:f>IF(H127="Expense",J127-SUMIFS($G$2:G127,$B$2:B127,B127,$D$2:D127,D127,$H$2:H127,"Expense"),0)</x:f>
        <x:v>1279</x:v>
      </x:c>
      <x:c r="L127" t="str">
        <x:f>'Raw Data'!L127</x:f>
        <x:v>Apparel / lifestyle purchase</x:v>
      </x:c>
    </x:row>
    <x:row r="128">
      <x:c r="A128" s="2">
        <x:f>'Raw Data'!A128</x:f>
        <x:v>46283</x:v>
      </x:c>
      <x:c r="B128" t="str">
        <x:f>TRIM('Raw Data'!B128)</x:f>
        <x:v>Sep-26</x:v>
      </x:c>
      <x:c r="C128">
        <x:f>TRIM('Raw Data'!C128)</x:f>
      </x:c>
      <x:c r="D128" t="str">
        <x:f>TRIM('Raw Data'!D128)</x:f>
        <x:v>Entertainment</x:v>
      </x:c>
      <x:c r="E128" t="str">
        <x:f>TRIM('Raw Data'!E128)</x:f>
        <x:v>Variable</x:v>
      </x:c>
      <x:c r="F128" t="str">
        <x:f>TRIM('Raw Data'!F128)</x:f>
        <x:v>Cash</x:v>
      </x:c>
      <x:c r="G128" s="3">
        <x:f>ABS('Raw Data'!G128)</x:f>
        <x:v>2366</x:v>
      </x:c>
      <x:c r="H128" t="str">
        <x:f>TRIM('Raw Data'!H128)</x:f>
        <x:v>Expense</x:v>
      </x:c>
      <x:c r="I128" s="3">
        <x:f>IF(H128="Income",G128,-G128)</x:f>
        <x:v>-2366</x:v>
      </x:c>
      <x:c r="J128" s="3">
        <x:f>IF(H128="Expense",SUMIFS('Budget Planning'!$C$2:$C$133,'Budget Planning'!$A$2:$A$133,B128,'Budget Planning'!$B$2:$B$133,D128),0)</x:f>
        <x:v>3177</x:v>
      </x:c>
      <x:c r="K128" s="3">
        <x:f>IF(H128="Expense",J128-SUMIFS($G$2:G128,$B$2:B128,B128,$D$2:D128,D128,$H$2:H128,"Expense"),0)</x:f>
        <x:v>811</x:v>
      </x:c>
      <x:c r="L128" t="str">
        <x:f>'Raw Data'!L128</x:f>
        <x:v>Movies / subscriptions</x:v>
      </x:c>
    </x:row>
    <x:row r="129">
      <x:c r="A129" s="2">
        <x:f>'Raw Data'!A129</x:f>
        <x:v>46283</x:v>
      </x:c>
      <x:c r="B129" t="str">
        <x:f>TRIM('Raw Data'!B129)</x:f>
        <x:v>Sep-26</x:v>
      </x:c>
      <x:c r="C129">
        <x:f>TRIM('Raw Data'!C129)</x:f>
      </x:c>
      <x:c r="D129" t="str">
        <x:f>TRIM('Raw Data'!D129)</x:f>
        <x:v>Healthcare</x:v>
      </x:c>
      <x:c r="E129" t="str">
        <x:f>TRIM('Raw Data'!E129)</x:f>
        <x:v>Variable</x:v>
      </x:c>
      <x:c r="F129" t="str">
        <x:f>TRIM('Raw Data'!F129)</x:f>
        <x:v>Bank Transfer</x:v>
      </x:c>
      <x:c r="G129" s="3">
        <x:f>ABS('Raw Data'!G129)</x:f>
        <x:v>1736</x:v>
      </x:c>
      <x:c r="H129" t="str">
        <x:f>TRIM('Raw Data'!H129)</x:f>
        <x:v>Expense</x:v>
      </x:c>
      <x:c r="I129" s="3">
        <x:f>IF(H129="Income",G129,-G129)</x:f>
        <x:v>-1736</x:v>
      </x:c>
      <x:c r="J129" s="3">
        <x:f>IF(H129="Expense",SUMIFS('Budget Planning'!$C$2:$C$133,'Budget Planning'!$A$2:$A$133,B129,'Budget Planning'!$B$2:$B$133,D129),0)</x:f>
        <x:v>2952</x:v>
      </x:c>
      <x:c r="K129" s="3">
        <x:f>IF(H129="Expense",J129-SUMIFS($G$2:G129,$B$2:B129,B129,$D$2:D129,D129,$H$2:H129,"Expense"),0)</x:f>
        <x:v>1216</x:v>
      </x:c>
      <x:c r="L129" t="str">
        <x:f>'Raw Data'!L129</x:f>
        <x:v>Medicines / doctor consultation</x:v>
      </x:c>
    </x:row>
    <x:row r="130">
      <x:c r="A130" s="2">
        <x:f>'Raw Data'!A130</x:f>
        <x:v>46286</x:v>
      </x:c>
      <x:c r="B130" t="str">
        <x:f>TRIM('Raw Data'!B130)</x:f>
        <x:v>Sep-26</x:v>
      </x:c>
      <x:c r="C130">
        <x:f>TRIM('Raw Data'!C130)</x:f>
      </x:c>
      <x:c r="D130" t="str">
        <x:f>TRIM('Raw Data'!D130)</x:f>
        <x:v>Groceries</x:v>
      </x:c>
      <x:c r="E130" t="str">
        <x:f>TRIM('Raw Data'!E130)</x:f>
        <x:v>Variable</x:v>
      </x:c>
      <x:c r="F130" t="str">
        <x:f>TRIM('Raw Data'!F130)</x:f>
        <x:v>Cash</x:v>
      </x:c>
      <x:c r="G130" s="3">
        <x:f>ABS('Raw Data'!G130)</x:f>
        <x:v>3995</x:v>
      </x:c>
      <x:c r="H130" t="str">
        <x:f>TRIM('Raw Data'!H130)</x:f>
        <x:v>Expense</x:v>
      </x:c>
      <x:c r="I130" s="3">
        <x:f>IF(H130="Income",G130,-G130)</x:f>
        <x:v>-3995</x:v>
      </x:c>
      <x:c r="J130" s="3">
        <x:f>IF(H130="Expense",SUMIFS('Budget Planning'!$C$2:$C$133,'Budget Planning'!$A$2:$A$133,B130,'Budget Planning'!$B$2:$B$133,D130),0)</x:f>
        <x:v>7493</x:v>
      </x:c>
      <x:c r="K130" s="3">
        <x:f>IF(H130="Expense",J130-SUMIFS($G$2:G130,$B$2:B130,B130,$D$2:D130,D130,$H$2:H130,"Expense"),0)</x:f>
        <x:v>-160</x:v>
      </x:c>
      <x:c r="L130" t="str">
        <x:f>'Raw Data'!L130</x:f>
        <x:v>Monthly essentials restock</x:v>
      </x:c>
    </x:row>
    <x:row r="131">
      <x:c r="A131" s="2">
        <x:f>'Raw Data'!A131</x:f>
        <x:v>46290</x:v>
      </x:c>
      <x:c r="B131" t="str">
        <x:f>TRIM('Raw Data'!B131)</x:f>
        <x:v>Sep-26</x:v>
      </x:c>
      <x:c r="C131">
        <x:f>TRIM('Raw Data'!C131)</x:f>
      </x:c>
      <x:c r="D131" t="str">
        <x:f>TRIM('Raw Data'!D131)</x:f>
        <x:v>Food</x:v>
      </x:c>
      <x:c r="E131" t="str">
        <x:f>TRIM('Raw Data'!E131)</x:f>
        <x:v>Variable</x:v>
      </x:c>
      <x:c r="F131" t="str">
        <x:f>TRIM('Raw Data'!F131)</x:f>
        <x:v>UPI</x:v>
      </x:c>
      <x:c r="G131" s="3">
        <x:f>ABS('Raw Data'!G131)</x:f>
        <x:v>1734</x:v>
      </x:c>
      <x:c r="H131" t="str">
        <x:f>TRIM('Raw Data'!H131)</x:f>
        <x:v>Expense</x:v>
      </x:c>
      <x:c r="I131" s="3">
        <x:f>IF(H131="Income",G131,-G131)</x:f>
        <x:v>-1734</x:v>
      </x:c>
      <x:c r="J131" s="3">
        <x:f>IF(H131="Expense",SUMIFS('Budget Planning'!$C$2:$C$133,'Budget Planning'!$A$2:$A$133,B131,'Budget Planning'!$B$2:$B$133,D131),0)</x:f>
        <x:v>6893</x:v>
      </x:c>
      <x:c r="K131" s="3">
        <x:f>IF(H131="Expense",J131-SUMIFS($G$2:G131,$B$2:B131,B131,$D$2:D131,D131,$H$2:H131,"Expense"),0)</x:f>
        <x:v>2889</x:v>
      </x:c>
      <x:c r="L131" t="str">
        <x:f>'Raw Data'!L131</x:f>
        <x:v>Weekend food order</x:v>
      </x:c>
    </x:row>
    <x:row r="132">
      <x:c r="A132" s="2">
        <x:f>'Raw Data'!A132</x:f>
        <x:v>46292</x:v>
      </x:c>
      <x:c r="B132" t="str">
        <x:f>TRIM('Raw Data'!B132)</x:f>
        <x:v>Sep-26</x:v>
      </x:c>
      <x:c r="C132" t="str">
        <x:f>TRIM('Raw Data'!C132)</x:f>
        <x:v>Interest</x:v>
      </x:c>
      <x:c r="D132">
        <x:f>TRIM('Raw Data'!D132)</x:f>
      </x:c>
      <x:c r="E132" t="str">
        <x:f>TRIM('Raw Data'!E132)</x:f>
        <x:v>N/A</x:v>
      </x:c>
      <x:c r="F132" t="str">
        <x:f>TRIM('Raw Data'!F132)</x:f>
        <x:v>Bank Transfer</x:v>
      </x:c>
      <x:c r="G132" s="3">
        <x:f>ABS('Raw Data'!G132)</x:f>
        <x:v>2045</x:v>
      </x:c>
      <x:c r="H132" t="str">
        <x:f>TRIM('Raw Data'!H132)</x:f>
        <x:v>Income</x:v>
      </x:c>
      <x:c r="I132" s="3">
        <x:f>IF(H132="Income",G132,-G132)</x:f>
        <x:v>2045</x:v>
      </x:c>
      <x:c r="J132" s="3">
        <x:f>IF(H132="Expense",SUMIFS('Budget Planning'!$C$2:$C$133,'Budget Planning'!$A$2:$A$133,B132,'Budget Planning'!$B$2:$B$133,D132),0)</x:f>
        <x:v>0</x:v>
      </x:c>
      <x:c r="K132" s="3">
        <x:f>IF(H132="Expense",J132-SUMIFS($G$2:G132,$B$2:B132,B132,$D$2:D132,D132,$H$2:H132,"Expense"),0)</x:f>
        <x:v>0</x:v>
      </x:c>
      <x:c r="L132" t="str">
        <x:f>'Raw Data'!L132</x:f>
        <x:v>Interest from savings / FD</x:v>
      </x:c>
    </x:row>
    <x:row r="133">
      <x:c r="A133" s="2">
        <x:f>'Raw Data'!A133</x:f>
        <x:v>46296</x:v>
      </x:c>
      <x:c r="B133" t="str">
        <x:f>TRIM('Raw Data'!B133)</x:f>
        <x:v>Oct-26</x:v>
      </x:c>
      <x:c r="C133" t="str">
        <x:f>TRIM('Raw Data'!C133)</x:f>
        <x:v>Salary</x:v>
      </x:c>
      <x:c r="D133">
        <x:f>TRIM('Raw Data'!D133)</x:f>
      </x:c>
      <x:c r="E133" t="str">
        <x:f>TRIM('Raw Data'!E133)</x:f>
        <x:v>N/A</x:v>
      </x:c>
      <x:c r="F133" t="str">
        <x:f>TRIM('Raw Data'!F133)</x:f>
        <x:v>Bank Transfer</x:v>
      </x:c>
      <x:c r="G133" s="3">
        <x:f>ABS('Raw Data'!G133)</x:f>
        <x:v>92502</x:v>
      </x:c>
      <x:c r="H133" t="str">
        <x:f>TRIM('Raw Data'!H133)</x:f>
        <x:v>Income</x:v>
      </x:c>
      <x:c r="I133" s="3">
        <x:f>IF(H133="Income",G133,-G133)</x:f>
        <x:v>92502</x:v>
      </x:c>
      <x:c r="J133" s="3">
        <x:f>IF(H133="Expense",SUMIFS('Budget Planning'!$C$2:$C$133,'Budget Planning'!$A$2:$A$133,B133,'Budget Planning'!$B$2:$B$133,D133),0)</x:f>
        <x:v>0</x:v>
      </x:c>
      <x:c r="K133" s="3">
        <x:f>IF(H133="Expense",J133-SUMIFS($G$2:G133,$B$2:B133,B133,$D$2:D133,D133,$H$2:H133,"Expense"),0)</x:f>
        <x:v>0</x:v>
      </x:c>
      <x:c r="L133" t="str">
        <x:f>'Raw Data'!L133</x:f>
        <x:v>Monthly salary credited</x:v>
      </x:c>
    </x:row>
    <x:row r="134">
      <x:c r="A134" s="2">
        <x:f>'Raw Data'!A134</x:f>
        <x:v>46297</x:v>
      </x:c>
      <x:c r="B134" t="str">
        <x:f>TRIM('Raw Data'!B134)</x:f>
        <x:v>Oct-26</x:v>
      </x:c>
      <x:c r="C134">
        <x:f>TRIM('Raw Data'!C134)</x:f>
      </x:c>
      <x:c r="D134" t="str">
        <x:f>TRIM('Raw Data'!D134)</x:f>
        <x:v>Rent</x:v>
      </x:c>
      <x:c r="E134" t="str">
        <x:f>TRIM('Raw Data'!E134)</x:f>
        <x:v>Fixed</x:v>
      </x:c>
      <x:c r="F134" t="str">
        <x:f>TRIM('Raw Data'!F134)</x:f>
        <x:v>Bank Transfer</x:v>
      </x:c>
      <x:c r="G134" s="3">
        <x:f>ABS('Raw Data'!G134)</x:f>
        <x:v>28000</x:v>
      </x:c>
      <x:c r="H134" t="str">
        <x:f>TRIM('Raw Data'!H134)</x:f>
        <x:v>Expense</x:v>
      </x:c>
      <x:c r="I134" s="3">
        <x:f>IF(H134="Income",G134,-G134)</x:f>
        <x:v>-28000</x:v>
      </x:c>
      <x:c r="J134" s="3">
        <x:f>IF(H134="Expense",SUMIFS('Budget Planning'!$C$2:$C$133,'Budget Planning'!$A$2:$A$133,B134,'Budget Planning'!$B$2:$B$133,D134),0)</x:f>
        <x:v>28000</x:v>
      </x:c>
      <x:c r="K134" s="3">
        <x:f>IF(H134="Expense",J134-SUMIFS($G$2:G134,$B$2:B134,B134,$D$2:D134,D134,$H$2:H134,"Expense"),0)</x:f>
        <x:v>0</x:v>
      </x:c>
      <x:c r="L134" t="str">
        <x:f>'Raw Data'!L134</x:f>
        <x:v>House rent payment</x:v>
      </x:c>
    </x:row>
    <x:row r="135">
      <x:c r="A135" s="2">
        <x:f>'Raw Data'!A135</x:f>
        <x:v>46300</x:v>
      </x:c>
      <x:c r="B135" t="str">
        <x:f>TRIM('Raw Data'!B135)</x:f>
        <x:v>Oct-26</x:v>
      </x:c>
      <x:c r="C135">
        <x:f>TRIM('Raw Data'!C135)</x:f>
      </x:c>
      <x:c r="D135" t="str">
        <x:f>TRIM('Raw Data'!D135)</x:f>
        <x:v>EMI</x:v>
      </x:c>
      <x:c r="E135" t="str">
        <x:f>TRIM('Raw Data'!E135)</x:f>
        <x:v>Fixed</x:v>
      </x:c>
      <x:c r="F135" t="str">
        <x:f>TRIM('Raw Data'!F135)</x:f>
        <x:v>Bank Transfer</x:v>
      </x:c>
      <x:c r="G135" s="3">
        <x:f>ABS('Raw Data'!G135)</x:f>
        <x:v>9000</x:v>
      </x:c>
      <x:c r="H135" t="str">
        <x:f>TRIM('Raw Data'!H135)</x:f>
        <x:v>Expense</x:v>
      </x:c>
      <x:c r="I135" s="3">
        <x:f>IF(H135="Income",G135,-G135)</x:f>
        <x:v>-9000</x:v>
      </x:c>
      <x:c r="J135" s="3">
        <x:f>IF(H135="Expense",SUMIFS('Budget Planning'!$C$2:$C$133,'Budget Planning'!$A$2:$A$133,B135,'Budget Planning'!$B$2:$B$133,D135),0)</x:f>
        <x:v>9000</x:v>
      </x:c>
      <x:c r="K135" s="3">
        <x:f>IF(H135="Expense",J135-SUMIFS($G$2:G135,$B$2:B135,B135,$D$2:D135,D135,$H$2:H135,"Expense"),0)</x:f>
        <x:v>0</x:v>
      </x:c>
      <x:c r="L135" t="str">
        <x:f>'Raw Data'!L135</x:f>
        <x:v>Personal loan EMI</x:v>
      </x:c>
    </x:row>
    <x:row r="136">
      <x:c r="A136" s="2">
        <x:f>'Raw Data'!A136</x:f>
        <x:v>46302</x:v>
      </x:c>
      <x:c r="B136" t="str">
        <x:f>TRIM('Raw Data'!B136)</x:f>
        <x:v>Oct-26</x:v>
      </x:c>
      <x:c r="C136">
        <x:f>TRIM('Raw Data'!C136)</x:f>
      </x:c>
      <x:c r="D136" t="str">
        <x:f>TRIM('Raw Data'!D136)</x:f>
        <x:v>Groceries</x:v>
      </x:c>
      <x:c r="E136" t="str">
        <x:f>TRIM('Raw Data'!E136)</x:f>
        <x:v>Variable</x:v>
      </x:c>
      <x:c r="F136" t="str">
        <x:f>TRIM('Raw Data'!F136)</x:f>
        <x:v>Cash</x:v>
      </x:c>
      <x:c r="G136" s="3">
        <x:f>ABS('Raw Data'!G136)</x:f>
        <x:v>3738</x:v>
      </x:c>
      <x:c r="H136" t="str">
        <x:f>TRIM('Raw Data'!H136)</x:f>
        <x:v>Expense</x:v>
      </x:c>
      <x:c r="I136" s="3">
        <x:f>IF(H136="Income",G136,-G136)</x:f>
        <x:v>-3738</x:v>
      </x:c>
      <x:c r="J136" s="3">
        <x:f>IF(H136="Expense",SUMIFS('Budget Planning'!$C$2:$C$133,'Budget Planning'!$A$2:$A$133,B136,'Budget Planning'!$B$2:$B$133,D136),0)</x:f>
        <x:v>7802</x:v>
      </x:c>
      <x:c r="K136" s="3">
        <x:f>IF(H136="Expense",J136-SUMIFS($G$2:G136,$B$2:B136,B136,$D$2:D136,D136,$H$2:H136,"Expense"),0)</x:f>
        <x:v>4064</x:v>
      </x:c>
      <x:c r="L136" t="str">
        <x:f>'Raw Data'!L136</x:f>
        <x:v>Supermarket groceries</x:v>
      </x:c>
    </x:row>
    <x:row r="137">
      <x:c r="A137" s="2">
        <x:f>'Raw Data'!A137</x:f>
        <x:v>46303</x:v>
      </x:c>
      <x:c r="B137" t="str">
        <x:f>TRIM('Raw Data'!B137)</x:f>
        <x:v>Oct-26</x:v>
      </x:c>
      <x:c r="C137">
        <x:f>TRIM('Raw Data'!C137)</x:f>
      </x:c>
      <x:c r="D137" t="str">
        <x:f>TRIM('Raw Data'!D137)</x:f>
        <x:v>Utilities</x:v>
      </x:c>
      <x:c r="E137" t="str">
        <x:f>TRIM('Raw Data'!E137)</x:f>
        <x:v>Fixed</x:v>
      </x:c>
      <x:c r="F137" t="str">
        <x:f>TRIM('Raw Data'!F137)</x:f>
        <x:v>UPI</x:v>
      </x:c>
      <x:c r="G137" s="3">
        <x:f>ABS('Raw Data'!G137)</x:f>
        <x:v>1923</x:v>
      </x:c>
      <x:c r="H137" t="str">
        <x:f>TRIM('Raw Data'!H137)</x:f>
        <x:v>Expense</x:v>
      </x:c>
      <x:c r="I137" s="3">
        <x:f>IF(H137="Income",G137,-G137)</x:f>
        <x:v>-1923</x:v>
      </x:c>
      <x:c r="J137" s="3">
        <x:f>IF(H137="Expense",SUMIFS('Budget Planning'!$C$2:$C$133,'Budget Planning'!$A$2:$A$133,B137,'Budget Planning'!$B$2:$B$133,D137),0)</x:f>
        <x:v>3514</x:v>
      </x:c>
      <x:c r="K137" s="3">
        <x:f>IF(H137="Expense",J137-SUMIFS($G$2:G137,$B$2:B137,B137,$D$2:D137,D137,$H$2:H137,"Expense"),0)</x:f>
        <x:v>1591</x:v>
      </x:c>
      <x:c r="L137" t="str">
        <x:f>'Raw Data'!L137</x:f>
        <x:v>Electricity bill</x:v>
      </x:c>
    </x:row>
    <x:row r="138">
      <x:c r="A138" s="2">
        <x:f>'Raw Data'!A138</x:f>
        <x:v>46304</x:v>
      </x:c>
      <x:c r="B138" t="str">
        <x:f>TRIM('Raw Data'!B138)</x:f>
        <x:v>Oct-26</x:v>
      </x:c>
      <x:c r="C138">
        <x:f>TRIM('Raw Data'!C138)</x:f>
      </x:c>
      <x:c r="D138" t="str">
        <x:f>TRIM('Raw Data'!D138)</x:f>
        <x:v>Insurance</x:v>
      </x:c>
      <x:c r="E138" t="str">
        <x:f>TRIM('Raw Data'!E138)</x:f>
        <x:v>Fixed</x:v>
      </x:c>
      <x:c r="F138" t="str">
        <x:f>TRIM('Raw Data'!F138)</x:f>
        <x:v>Bank Transfer</x:v>
      </x:c>
      <x:c r="G138" s="3">
        <x:f>ABS('Raw Data'!G138)</x:f>
        <x:v>3500</x:v>
      </x:c>
      <x:c r="H138" t="str">
        <x:f>TRIM('Raw Data'!H138)</x:f>
        <x:v>Expense</x:v>
      </x:c>
      <x:c r="I138" s="3">
        <x:f>IF(H138="Income",G138,-G138)</x:f>
        <x:v>-3500</x:v>
      </x:c>
      <x:c r="J138" s="3">
        <x:f>IF(H138="Expense",SUMIFS('Budget Planning'!$C$2:$C$133,'Budget Planning'!$A$2:$A$133,B138,'Budget Planning'!$B$2:$B$133,D138),0)</x:f>
        <x:v>3500</x:v>
      </x:c>
      <x:c r="K138" s="3">
        <x:f>IF(H138="Expense",J138-SUMIFS($G$2:G138,$B$2:B138,B138,$D$2:D138,D138,$H$2:H138,"Expense"),0)</x:f>
        <x:v>0</x:v>
      </x:c>
      <x:c r="L138" t="str">
        <x:f>'Raw Data'!L138</x:f>
        <x:v>Health insurance premium</x:v>
      </x:c>
    </x:row>
    <x:row r="139">
      <x:c r="A139" s="2">
        <x:f>'Raw Data'!A139</x:f>
        <x:v>46306</x:v>
      </x:c>
      <x:c r="B139" t="str">
        <x:f>TRIM('Raw Data'!B139)</x:f>
        <x:v>Oct-26</x:v>
      </x:c>
      <x:c r="C139">
        <x:f>TRIM('Raw Data'!C139)</x:f>
      </x:c>
      <x:c r="D139" t="str">
        <x:f>TRIM('Raw Data'!D139)</x:f>
        <x:v>Utilities</x:v>
      </x:c>
      <x:c r="E139" t="str">
        <x:f>TRIM('Raw Data'!E139)</x:f>
        <x:v>Fixed</x:v>
      </x:c>
      <x:c r="F139" t="str">
        <x:f>TRIM('Raw Data'!F139)</x:f>
        <x:v>UPI</x:v>
      </x:c>
      <x:c r="G139" s="3">
        <x:f>ABS('Raw Data'!G139)</x:f>
        <x:v>1969</x:v>
      </x:c>
      <x:c r="H139" t="str">
        <x:f>TRIM('Raw Data'!H139)</x:f>
        <x:v>Expense</x:v>
      </x:c>
      <x:c r="I139" s="3">
        <x:f>IF(H139="Income",G139,-G139)</x:f>
        <x:v>-1969</x:v>
      </x:c>
      <x:c r="J139" s="3">
        <x:f>IF(H139="Expense",SUMIFS('Budget Planning'!$C$2:$C$133,'Budget Planning'!$A$2:$A$133,B139,'Budget Planning'!$B$2:$B$133,D139),0)</x:f>
        <x:v>3514</x:v>
      </x:c>
      <x:c r="K139" s="3">
        <x:f>IF(H139="Expense",J139-SUMIFS($G$2:G139,$B$2:B139,B139,$D$2:D139,D139,$H$2:H139,"Expense"),0)</x:f>
        <x:v>-378</x:v>
      </x:c>
      <x:c r="L139" t="str">
        <x:f>'Raw Data'!L139</x:f>
        <x:v>Internet / mobile bill</x:v>
      </x:c>
    </x:row>
    <x:row r="140">
      <x:c r="A140" s="2">
        <x:f>'Raw Data'!A140</x:f>
        <x:v>46307</x:v>
      </x:c>
      <x:c r="B140" t="str">
        <x:f>TRIM('Raw Data'!B140)</x:f>
        <x:v>Oct-26</x:v>
      </x:c>
      <x:c r="C140">
        <x:f>TRIM('Raw Data'!C140)</x:f>
      </x:c>
      <x:c r="D140" t="str">
        <x:f>TRIM('Raw Data'!D140)</x:f>
        <x:v>Food</x:v>
      </x:c>
      <x:c r="E140" t="str">
        <x:f>TRIM('Raw Data'!E140)</x:f>
        <x:v>Variable</x:v>
      </x:c>
      <x:c r="F140" t="str">
        <x:f>TRIM('Raw Data'!F140)</x:f>
        <x:v>Cash</x:v>
      </x:c>
      <x:c r="G140" s="3">
        <x:f>ABS('Raw Data'!G140)</x:f>
        <x:v>1350</x:v>
      </x:c>
      <x:c r="H140" t="str">
        <x:f>TRIM('Raw Data'!H140)</x:f>
        <x:v>Expense</x:v>
      </x:c>
      <x:c r="I140" s="3">
        <x:f>IF(H140="Income",G140,-G140)</x:f>
        <x:v>-1350</x:v>
      </x:c>
      <x:c r="J140" s="3">
        <x:f>IF(H140="Expense",SUMIFS('Budget Planning'!$C$2:$C$133,'Budget Planning'!$A$2:$A$133,B140,'Budget Planning'!$B$2:$B$133,D140),0)</x:f>
        <x:v>6064</x:v>
      </x:c>
      <x:c r="K140" s="3">
        <x:f>IF(H140="Expense",J140-SUMIFS($G$2:G140,$B$2:B140,B140,$D$2:D140,D140,$H$2:H140,"Expense"),0)</x:f>
        <x:v>4714</x:v>
      </x:c>
      <x:c r="L140" t="str">
        <x:f>'Raw Data'!L140</x:f>
        <x:v>Dining out / office lunch</x:v>
      </x:c>
    </x:row>
    <x:row r="141">
      <x:c r="A141" s="2">
        <x:f>'Raw Data'!A141</x:f>
        <x:v>46311</x:v>
      </x:c>
      <x:c r="B141" t="str">
        <x:f>TRIM('Raw Data'!B141)</x:f>
        <x:v>Oct-26</x:v>
      </x:c>
      <x:c r="C141">
        <x:f>TRIM('Raw Data'!C141)</x:f>
      </x:c>
      <x:c r="D141" t="str">
        <x:f>TRIM('Raw Data'!D141)</x:f>
        <x:v>Shopping</x:v>
      </x:c>
      <x:c r="E141" t="str">
        <x:f>TRIM('Raw Data'!E141)</x:f>
        <x:v>Variable</x:v>
      </x:c>
      <x:c r="F141" t="str">
        <x:f>TRIM('Raw Data'!F141)</x:f>
        <x:v>UPI</x:v>
      </x:c>
      <x:c r="G141" s="3">
        <x:f>ABS('Raw Data'!G141)</x:f>
        <x:v>2063</x:v>
      </x:c>
      <x:c r="H141" t="str">
        <x:f>TRIM('Raw Data'!H141)</x:f>
        <x:v>Expense</x:v>
      </x:c>
      <x:c r="I141" s="3">
        <x:f>IF(H141="Income",G141,-G141)</x:f>
        <x:v>-2063</x:v>
      </x:c>
      <x:c r="J141" s="3">
        <x:f>IF(H141="Expense",SUMIFS('Budget Planning'!$C$2:$C$133,'Budget Planning'!$A$2:$A$133,B141,'Budget Planning'!$B$2:$B$133,D141),0)</x:f>
        <x:v>4869</x:v>
      </x:c>
      <x:c r="K141" s="3">
        <x:f>IF(H141="Expense",J141-SUMIFS($G$2:G141,$B$2:B141,B141,$D$2:D141,D141,$H$2:H141,"Expense"),0)</x:f>
        <x:v>2806</x:v>
      </x:c>
      <x:c r="L141" t="str">
        <x:f>'Raw Data'!L141</x:f>
        <x:v>Apparel / lifestyle purchase</x:v>
      </x:c>
    </x:row>
    <x:row r="142">
      <x:c r="A142" s="2">
        <x:f>'Raw Data'!A142</x:f>
        <x:v>46312</x:v>
      </x:c>
      <x:c r="B142" t="str">
        <x:f>TRIM('Raw Data'!B142)</x:f>
        <x:v>Oct-26</x:v>
      </x:c>
      <x:c r="C142" t="str">
        <x:f>TRIM('Raw Data'!C142)</x:f>
        <x:v>Freelance</x:v>
      </x:c>
      <x:c r="D142">
        <x:f>TRIM('Raw Data'!D142)</x:f>
      </x:c>
      <x:c r="E142" t="str">
        <x:f>TRIM('Raw Data'!E142)</x:f>
        <x:v>N/A</x:v>
      </x:c>
      <x:c r="F142" t="str">
        <x:f>TRIM('Raw Data'!F142)</x:f>
        <x:v>UPI</x:v>
      </x:c>
      <x:c r="G142" s="3">
        <x:f>ABS('Raw Data'!G142)</x:f>
        <x:v>22575</x:v>
      </x:c>
      <x:c r="H142" t="str">
        <x:f>TRIM('Raw Data'!H142)</x:f>
        <x:v>Income</x:v>
      </x:c>
      <x:c r="I142" s="3">
        <x:f>IF(H142="Income",G142,-G142)</x:f>
        <x:v>22575</x:v>
      </x:c>
      <x:c r="J142" s="3">
        <x:f>IF(H142="Expense",SUMIFS('Budget Planning'!$C$2:$C$133,'Budget Planning'!$A$2:$A$133,B142,'Budget Planning'!$B$2:$B$133,D142),0)</x:f>
        <x:v>0</x:v>
      </x:c>
      <x:c r="K142" s="3">
        <x:f>IF(H142="Expense",J142-SUMIFS($G$2:G142,$B$2:B142,B142,$D$2:D142,D142,$H$2:H142,"Expense"),0)</x:f>
        <x:v>0</x:v>
      </x:c>
      <x:c r="L142" t="str">
        <x:f>'Raw Data'!L142</x:f>
        <x:v>Freelance project payment</x:v>
      </x:c>
    </x:row>
    <x:row r="143">
      <x:c r="A143" s="2">
        <x:f>'Raw Data'!A143</x:f>
        <x:v>46313</x:v>
      </x:c>
      <x:c r="B143" t="str">
        <x:f>TRIM('Raw Data'!B143)</x:f>
        <x:v>Oct-26</x:v>
      </x:c>
      <x:c r="C143">
        <x:f>TRIM('Raw Data'!C143)</x:f>
      </x:c>
      <x:c r="D143" t="str">
        <x:f>TRIM('Raw Data'!D143)</x:f>
        <x:v>Entertainment</x:v>
      </x:c>
      <x:c r="E143" t="str">
        <x:f>TRIM('Raw Data'!E143)</x:f>
        <x:v>Variable</x:v>
      </x:c>
      <x:c r="F143" t="str">
        <x:f>TRIM('Raw Data'!F143)</x:f>
        <x:v>Credit Card</x:v>
      </x:c>
      <x:c r="G143" s="3">
        <x:f>ABS('Raw Data'!G143)</x:f>
        <x:v>1171</x:v>
      </x:c>
      <x:c r="H143" t="str">
        <x:f>TRIM('Raw Data'!H143)</x:f>
        <x:v>Expense</x:v>
      </x:c>
      <x:c r="I143" s="3">
        <x:f>IF(H143="Income",G143,-G143)</x:f>
        <x:v>-1171</x:v>
      </x:c>
      <x:c r="J143" s="3">
        <x:f>IF(H143="Expense",SUMIFS('Budget Planning'!$C$2:$C$133,'Budget Planning'!$A$2:$A$133,B143,'Budget Planning'!$B$2:$B$133,D143),0)</x:f>
        <x:v>3046</x:v>
      </x:c>
      <x:c r="K143" s="3">
        <x:f>IF(H143="Expense",J143-SUMIFS($G$2:G143,$B$2:B143,B143,$D$2:D143,D143,$H$2:H143,"Expense"),0)</x:f>
        <x:v>1875</x:v>
      </x:c>
      <x:c r="L143" t="str">
        <x:f>'Raw Data'!L143</x:f>
        <x:v>Movies / subscriptions</x:v>
      </x:c>
    </x:row>
    <x:row r="144">
      <x:c r="A144" s="2">
        <x:f>'Raw Data'!A144</x:f>
        <x:v>46316</x:v>
      </x:c>
      <x:c r="B144" t="str">
        <x:f>TRIM('Raw Data'!B144)</x:f>
        <x:v>Oct-26</x:v>
      </x:c>
      <x:c r="C144">
        <x:f>TRIM('Raw Data'!C144)</x:f>
      </x:c>
      <x:c r="D144" t="str">
        <x:f>TRIM('Raw Data'!D144)</x:f>
        <x:v>Groceries</x:v>
      </x:c>
      <x:c r="E144" t="str">
        <x:f>TRIM('Raw Data'!E144)</x:f>
        <x:v>Variable</x:v>
      </x:c>
      <x:c r="F144" t="str">
        <x:f>TRIM('Raw Data'!F144)</x:f>
        <x:v>UPI</x:v>
      </x:c>
      <x:c r="G144" s="3">
        <x:f>ABS('Raw Data'!G144)</x:f>
        <x:v>3953</x:v>
      </x:c>
      <x:c r="H144" t="str">
        <x:f>TRIM('Raw Data'!H144)</x:f>
        <x:v>Expense</x:v>
      </x:c>
      <x:c r="I144" s="3">
        <x:f>IF(H144="Income",G144,-G144)</x:f>
        <x:v>-3953</x:v>
      </x:c>
      <x:c r="J144" s="3">
        <x:f>IF(H144="Expense",SUMIFS('Budget Planning'!$C$2:$C$133,'Budget Planning'!$A$2:$A$133,B144,'Budget Planning'!$B$2:$B$133,D144),0)</x:f>
        <x:v>7802</x:v>
      </x:c>
      <x:c r="K144" s="3">
        <x:f>IF(H144="Expense",J144-SUMIFS($G$2:G144,$B$2:B144,B144,$D$2:D144,D144,$H$2:H144,"Expense"),0)</x:f>
        <x:v>111</x:v>
      </x:c>
      <x:c r="L144" t="str">
        <x:f>'Raw Data'!L144</x:f>
        <x:v>Monthly essentials restock</x:v>
      </x:c>
    </x:row>
    <x:row r="145">
      <x:c r="A145" s="2">
        <x:f>'Raw Data'!A145</x:f>
        <x:v>46317</x:v>
      </x:c>
      <x:c r="B145" t="str">
        <x:f>TRIM('Raw Data'!B145)</x:f>
        <x:v>Oct-26</x:v>
      </x:c>
      <x:c r="C145">
        <x:f>TRIM('Raw Data'!C145)</x:f>
      </x:c>
      <x:c r="D145" t="str">
        <x:f>TRIM('Raw Data'!D145)</x:f>
        <x:v>Travel</x:v>
      </x:c>
      <x:c r="E145" t="str">
        <x:f>TRIM('Raw Data'!E145)</x:f>
        <x:v>Variable</x:v>
      </x:c>
      <x:c r="F145" t="str">
        <x:f>TRIM('Raw Data'!F145)</x:f>
        <x:v>Credit Card</x:v>
      </x:c>
      <x:c r="G145" s="3">
        <x:f>ABS('Raw Data'!G145)</x:f>
        <x:v>5389</x:v>
      </x:c>
      <x:c r="H145" t="str">
        <x:f>TRIM('Raw Data'!H145)</x:f>
        <x:v>Expense</x:v>
      </x:c>
      <x:c r="I145" s="3">
        <x:f>IF(H145="Income",G145,-G145)</x:f>
        <x:v>-5389</x:v>
      </x:c>
      <x:c r="J145" s="3">
        <x:f>IF(H145="Expense",SUMIFS('Budget Planning'!$C$2:$C$133,'Budget Planning'!$A$2:$A$133,B145,'Budget Planning'!$B$2:$B$133,D145),0)</x:f>
        <x:v>3965</x:v>
      </x:c>
      <x:c r="K145" s="3">
        <x:f>IF(H145="Expense",J145-SUMIFS($G$2:G145,$B$2:B145,B145,$D$2:D145,D145,$H$2:H145,"Expense"),0)</x:f>
        <x:v>-1424</x:v>
      </x:c>
      <x:c r="L145" t="str">
        <x:f>'Raw Data'!L145</x:f>
        <x:v>Cab / fuel / local travel</x:v>
      </x:c>
    </x:row>
    <x:row r="146">
      <x:c r="A146" s="2">
        <x:f>'Raw Data'!A146</x:f>
        <x:v>46318</x:v>
      </x:c>
      <x:c r="B146" t="str">
        <x:f>TRIM('Raw Data'!B146)</x:f>
        <x:v>Oct-26</x:v>
      </x:c>
      <x:c r="C146">
        <x:f>TRIM('Raw Data'!C146)</x:f>
      </x:c>
      <x:c r="D146" t="str">
        <x:f>TRIM('Raw Data'!D146)</x:f>
        <x:v>Shopping</x:v>
      </x:c>
      <x:c r="E146" t="str">
        <x:f>TRIM('Raw Data'!E146)</x:f>
        <x:v>Variable</x:v>
      </x:c>
      <x:c r="F146" t="str">
        <x:f>TRIM('Raw Data'!F146)</x:f>
        <x:v>Credit Card</x:v>
      </x:c>
      <x:c r="G146" s="3">
        <x:f>ABS('Raw Data'!G146)</x:f>
        <x:v>5227</x:v>
      </x:c>
      <x:c r="H146" t="str">
        <x:f>TRIM('Raw Data'!H146)</x:f>
        <x:v>Expense</x:v>
      </x:c>
      <x:c r="I146" s="3">
        <x:f>IF(H146="Income",G146,-G146)</x:f>
        <x:v>-5227</x:v>
      </x:c>
      <x:c r="J146" s="3">
        <x:f>IF(H146="Expense",SUMIFS('Budget Planning'!$C$2:$C$133,'Budget Planning'!$A$2:$A$133,B146,'Budget Planning'!$B$2:$B$133,D146),0)</x:f>
        <x:v>4869</x:v>
      </x:c>
      <x:c r="K146" s="3">
        <x:f>IF(H146="Expense",J146-SUMIFS($G$2:G146,$B$2:B146,B146,$D$2:D146,D146,$H$2:H146,"Expense"),0)</x:f>
        <x:v>-2421</x:v>
      </x:c>
      <x:c r="L146" t="str">
        <x:f>'Raw Data'!L146</x:f>
        <x:v>Seasonal / festive shopping</x:v>
      </x:c>
    </x:row>
    <x:row r="147">
      <x:c r="A147" s="2">
        <x:f>'Raw Data'!A147</x:f>
        <x:v>46320</x:v>
      </x:c>
      <x:c r="B147" t="str">
        <x:f>TRIM('Raw Data'!B147)</x:f>
        <x:v>Oct-26</x:v>
      </x:c>
      <x:c r="C147">
        <x:f>TRIM('Raw Data'!C147)</x:f>
      </x:c>
      <x:c r="D147" t="str">
        <x:f>TRIM('Raw Data'!D147)</x:f>
        <x:v>Food</x:v>
      </x:c>
      <x:c r="E147" t="str">
        <x:f>TRIM('Raw Data'!E147)</x:f>
        <x:v>Variable</x:v>
      </x:c>
      <x:c r="F147" t="str">
        <x:f>TRIM('Raw Data'!F147)</x:f>
        <x:v>Cash</x:v>
      </x:c>
      <x:c r="G147" s="3">
        <x:f>ABS('Raw Data'!G147)</x:f>
        <x:v>1636</x:v>
      </x:c>
      <x:c r="H147" t="str">
        <x:f>TRIM('Raw Data'!H147)</x:f>
        <x:v>Expense</x:v>
      </x:c>
      <x:c r="I147" s="3">
        <x:f>IF(H147="Income",G147,-G147)</x:f>
        <x:v>-1636</x:v>
      </x:c>
      <x:c r="J147" s="3">
        <x:f>IF(H147="Expense",SUMIFS('Budget Planning'!$C$2:$C$133,'Budget Planning'!$A$2:$A$133,B147,'Budget Planning'!$B$2:$B$133,D147),0)</x:f>
        <x:v>6064</x:v>
      </x:c>
      <x:c r="K147" s="3">
        <x:f>IF(H147="Expense",J147-SUMIFS($G$2:G147,$B$2:B147,B147,$D$2:D147,D147,$H$2:H147,"Expense"),0)</x:f>
        <x:v>3078</x:v>
      </x:c>
      <x:c r="L147" t="str">
        <x:f>'Raw Data'!L147</x:f>
        <x:v>Weekend food order</x:v>
      </x:c>
    </x:row>
    <x:row r="148">
      <x:c r="A148" s="2">
        <x:f>'Raw Data'!A148</x:f>
        <x:v>46322</x:v>
      </x:c>
      <x:c r="B148" t="str">
        <x:f>TRIM('Raw Data'!B148)</x:f>
        <x:v>Oct-26</x:v>
      </x:c>
      <x:c r="C148">
        <x:f>TRIM('Raw Data'!C148)</x:f>
      </x:c>
      <x:c r="D148" t="str">
        <x:f>TRIM('Raw Data'!D148)</x:f>
        <x:v>Healthcare</x:v>
      </x:c>
      <x:c r="E148" t="str">
        <x:f>TRIM('Raw Data'!E148)</x:f>
        <x:v>Variable</x:v>
      </x:c>
      <x:c r="F148" t="str">
        <x:f>TRIM('Raw Data'!F148)</x:f>
        <x:v>Cash</x:v>
      </x:c>
      <x:c r="G148" s="3">
        <x:f>ABS('Raw Data'!G148)</x:f>
        <x:v>1852</x:v>
      </x:c>
      <x:c r="H148" t="str">
        <x:f>TRIM('Raw Data'!H148)</x:f>
        <x:v>Expense</x:v>
      </x:c>
      <x:c r="I148" s="3">
        <x:f>IF(H148="Income",G148,-G148)</x:f>
        <x:v>-1852</x:v>
      </x:c>
      <x:c r="J148" s="3">
        <x:f>IF(H148="Expense",SUMIFS('Budget Planning'!$C$2:$C$133,'Budget Planning'!$A$2:$A$133,B148,'Budget Planning'!$B$2:$B$133,D148),0)</x:f>
        <x:v>3221</x:v>
      </x:c>
      <x:c r="K148" s="3">
        <x:f>IF(H148="Expense",J148-SUMIFS($G$2:G148,$B$2:B148,B148,$D$2:D148,D148,$H$2:H148,"Expense"),0)</x:f>
        <x:v>1369</x:v>
      </x:c>
      <x:c r="L148" t="str">
        <x:f>'Raw Data'!L148</x:f>
        <x:v>Health and wellness spend</x:v>
      </x:c>
    </x:row>
    <x:row r="149">
      <x:c r="A149" s="2">
        <x:f>'Raw Data'!A149</x:f>
        <x:v>46327</x:v>
      </x:c>
      <x:c r="B149" t="str">
        <x:f>TRIM('Raw Data'!B149)</x:f>
        <x:v>Nov-26</x:v>
      </x:c>
      <x:c r="C149" t="str">
        <x:f>TRIM('Raw Data'!C149)</x:f>
        <x:v>Salary</x:v>
      </x:c>
      <x:c r="D149">
        <x:f>TRIM('Raw Data'!D149)</x:f>
      </x:c>
      <x:c r="E149" t="str">
        <x:f>TRIM('Raw Data'!E149)</x:f>
        <x:v>N/A</x:v>
      </x:c>
      <x:c r="F149" t="str">
        <x:f>TRIM('Raw Data'!F149)</x:f>
        <x:v>Bank Transfer</x:v>
      </x:c>
      <x:c r="G149" s="3">
        <x:f>ABS('Raw Data'!G149)</x:f>
        <x:v>93611</x:v>
      </x:c>
      <x:c r="H149" t="str">
        <x:f>TRIM('Raw Data'!H149)</x:f>
        <x:v>Income</x:v>
      </x:c>
      <x:c r="I149" s="3">
        <x:f>IF(H149="Income",G149,-G149)</x:f>
        <x:v>93611</x:v>
      </x:c>
      <x:c r="J149" s="3">
        <x:f>IF(H149="Expense",SUMIFS('Budget Planning'!$C$2:$C$133,'Budget Planning'!$A$2:$A$133,B149,'Budget Planning'!$B$2:$B$133,D149),0)</x:f>
        <x:v>0</x:v>
      </x:c>
      <x:c r="K149" s="3">
        <x:f>IF(H149="Expense",J149-SUMIFS($G$2:G149,$B$2:B149,B149,$D$2:D149,D149,$H$2:H149,"Expense"),0)</x:f>
        <x:v>0</x:v>
      </x:c>
      <x:c r="L149" t="str">
        <x:f>'Raw Data'!L149</x:f>
        <x:v>Monthly salary credited</x:v>
      </x:c>
    </x:row>
    <x:row r="150">
      <x:c r="A150" s="2">
        <x:f>'Raw Data'!A150</x:f>
        <x:v>46328</x:v>
      </x:c>
      <x:c r="B150" t="str">
        <x:f>TRIM('Raw Data'!B150)</x:f>
        <x:v>Nov-26</x:v>
      </x:c>
      <x:c r="C150">
        <x:f>TRIM('Raw Data'!C150)</x:f>
      </x:c>
      <x:c r="D150" t="str">
        <x:f>TRIM('Raw Data'!D150)</x:f>
        <x:v>Rent</x:v>
      </x:c>
      <x:c r="E150" t="str">
        <x:f>TRIM('Raw Data'!E150)</x:f>
        <x:v>Fixed</x:v>
      </x:c>
      <x:c r="F150" t="str">
        <x:f>TRIM('Raw Data'!F150)</x:f>
        <x:v>Bank Transfer</x:v>
      </x:c>
      <x:c r="G150" s="3">
        <x:f>ABS('Raw Data'!G150)</x:f>
        <x:v>28000</x:v>
      </x:c>
      <x:c r="H150" t="str">
        <x:f>TRIM('Raw Data'!H150)</x:f>
        <x:v>Expense</x:v>
      </x:c>
      <x:c r="I150" s="3">
        <x:f>IF(H150="Income",G150,-G150)</x:f>
        <x:v>-28000</x:v>
      </x:c>
      <x:c r="J150" s="3">
        <x:f>IF(H150="Expense",SUMIFS('Budget Planning'!$C$2:$C$133,'Budget Planning'!$A$2:$A$133,B150,'Budget Planning'!$B$2:$B$133,D150),0)</x:f>
        <x:v>28000</x:v>
      </x:c>
      <x:c r="K150" s="3">
        <x:f>IF(H150="Expense",J150-SUMIFS($G$2:G150,$B$2:B150,B150,$D$2:D150,D150,$H$2:H150,"Expense"),0)</x:f>
        <x:v>0</x:v>
      </x:c>
      <x:c r="L150" t="str">
        <x:f>'Raw Data'!L150</x:f>
        <x:v>House rent payment</x:v>
      </x:c>
    </x:row>
    <x:row r="151">
      <x:c r="A151" s="2">
        <x:f>'Raw Data'!A151</x:f>
        <x:v>46331</x:v>
      </x:c>
      <x:c r="B151" t="str">
        <x:f>TRIM('Raw Data'!B151)</x:f>
        <x:v>Nov-26</x:v>
      </x:c>
      <x:c r="C151">
        <x:f>TRIM('Raw Data'!C151)</x:f>
      </x:c>
      <x:c r="D151" t="str">
        <x:f>TRIM('Raw Data'!D151)</x:f>
        <x:v>EMI</x:v>
      </x:c>
      <x:c r="E151" t="str">
        <x:f>TRIM('Raw Data'!E151)</x:f>
        <x:v>Fixed</x:v>
      </x:c>
      <x:c r="F151" t="str">
        <x:f>TRIM('Raw Data'!F151)</x:f>
        <x:v>Bank Transfer</x:v>
      </x:c>
      <x:c r="G151" s="3">
        <x:f>ABS('Raw Data'!G151)</x:f>
        <x:v>9000</x:v>
      </x:c>
      <x:c r="H151" t="str">
        <x:f>TRIM('Raw Data'!H151)</x:f>
        <x:v>Expense</x:v>
      </x:c>
      <x:c r="I151" s="3">
        <x:f>IF(H151="Income",G151,-G151)</x:f>
        <x:v>-9000</x:v>
      </x:c>
      <x:c r="J151" s="3">
        <x:f>IF(H151="Expense",SUMIFS('Budget Planning'!$C$2:$C$133,'Budget Planning'!$A$2:$A$133,B151,'Budget Planning'!$B$2:$B$133,D151),0)</x:f>
        <x:v>9000</x:v>
      </x:c>
      <x:c r="K151" s="3">
        <x:f>IF(H151="Expense",J151-SUMIFS($G$2:G151,$B$2:B151,B151,$D$2:D151,D151,$H$2:H151,"Expense"),0)</x:f>
        <x:v>0</x:v>
      </x:c>
      <x:c r="L151" t="str">
        <x:f>'Raw Data'!L151</x:f>
        <x:v>Personal loan EMI</x:v>
      </x:c>
    </x:row>
    <x:row r="152">
      <x:c r="A152" s="2">
        <x:f>'Raw Data'!A152</x:f>
        <x:v>46333</x:v>
      </x:c>
      <x:c r="B152" t="str">
        <x:f>TRIM('Raw Data'!B152)</x:f>
        <x:v>Nov-26</x:v>
      </x:c>
      <x:c r="C152">
        <x:f>TRIM('Raw Data'!C152)</x:f>
      </x:c>
      <x:c r="D152" t="str">
        <x:f>TRIM('Raw Data'!D152)</x:f>
        <x:v>Groceries</x:v>
      </x:c>
      <x:c r="E152" t="str">
        <x:f>TRIM('Raw Data'!E152)</x:f>
        <x:v>Variable</x:v>
      </x:c>
      <x:c r="F152" t="str">
        <x:f>TRIM('Raw Data'!F152)</x:f>
        <x:v>UPI</x:v>
      </x:c>
      <x:c r="G152" s="3">
        <x:f>ABS('Raw Data'!G152)</x:f>
        <x:v>4158</x:v>
      </x:c>
      <x:c r="H152" t="str">
        <x:f>TRIM('Raw Data'!H152)</x:f>
        <x:v>Expense</x:v>
      </x:c>
      <x:c r="I152" s="3">
        <x:f>IF(H152="Income",G152,-G152)</x:f>
        <x:v>-4158</x:v>
      </x:c>
      <x:c r="J152" s="3">
        <x:f>IF(H152="Expense",SUMIFS('Budget Planning'!$C$2:$C$133,'Budget Planning'!$A$2:$A$133,B152,'Budget Planning'!$B$2:$B$133,D152),0)</x:f>
        <x:v>7870</x:v>
      </x:c>
      <x:c r="K152" s="3">
        <x:f>IF(H152="Expense",J152-SUMIFS($G$2:G152,$B$2:B152,B152,$D$2:D152,D152,$H$2:H152,"Expense"),0)</x:f>
        <x:v>3712</x:v>
      </x:c>
      <x:c r="L152" t="str">
        <x:f>'Raw Data'!L152</x:f>
        <x:v>Supermarket groceries</x:v>
      </x:c>
    </x:row>
    <x:row r="153">
      <x:c r="A153" s="2">
        <x:f>'Raw Data'!A153</x:f>
        <x:v>46334</x:v>
      </x:c>
      <x:c r="B153" t="str">
        <x:f>TRIM('Raw Data'!B153)</x:f>
        <x:v>Nov-26</x:v>
      </x:c>
      <x:c r="C153">
        <x:f>TRIM('Raw Data'!C153)</x:f>
      </x:c>
      <x:c r="D153" t="str">
        <x:f>TRIM('Raw Data'!D153)</x:f>
        <x:v>Utilities</x:v>
      </x:c>
      <x:c r="E153" t="str">
        <x:f>TRIM('Raw Data'!E153)</x:f>
        <x:v>Fixed</x:v>
      </x:c>
      <x:c r="F153" t="str">
        <x:f>TRIM('Raw Data'!F153)</x:f>
        <x:v>UPI</x:v>
      </x:c>
      <x:c r="G153" s="3">
        <x:f>ABS('Raw Data'!G153)</x:f>
        <x:v>2269</x:v>
      </x:c>
      <x:c r="H153" t="str">
        <x:f>TRIM('Raw Data'!H153)</x:f>
        <x:v>Expense</x:v>
      </x:c>
      <x:c r="I153" s="3">
        <x:f>IF(H153="Income",G153,-G153)</x:f>
        <x:v>-2269</x:v>
      </x:c>
      <x:c r="J153" s="3">
        <x:f>IF(H153="Expense",SUMIFS('Budget Planning'!$C$2:$C$133,'Budget Planning'!$A$2:$A$133,B153,'Budget Planning'!$B$2:$B$133,D153),0)</x:f>
        <x:v>3835</x:v>
      </x:c>
      <x:c r="K153" s="3">
        <x:f>IF(H153="Expense",J153-SUMIFS($G$2:G153,$B$2:B153,B153,$D$2:D153,D153,$H$2:H153,"Expense"),0)</x:f>
        <x:v>1566</x:v>
      </x:c>
      <x:c r="L153" t="str">
        <x:f>'Raw Data'!L153</x:f>
        <x:v>Electricity bill</x:v>
      </x:c>
    </x:row>
    <x:row r="154">
      <x:c r="A154" s="2">
        <x:f>'Raw Data'!A154</x:f>
        <x:v>46337</x:v>
      </x:c>
      <x:c r="B154" t="str">
        <x:f>TRIM('Raw Data'!B154)</x:f>
        <x:v>Nov-26</x:v>
      </x:c>
      <x:c r="C154">
        <x:f>TRIM('Raw Data'!C154)</x:f>
      </x:c>
      <x:c r="D154" t="str">
        <x:f>TRIM('Raw Data'!D154)</x:f>
        <x:v>Utilities</x:v>
      </x:c>
      <x:c r="E154" t="str">
        <x:f>TRIM('Raw Data'!E154)</x:f>
        <x:v>Fixed</x:v>
      </x:c>
      <x:c r="F154" t="str">
        <x:f>TRIM('Raw Data'!F154)</x:f>
        <x:v>Credit Card</x:v>
      </x:c>
      <x:c r="G154" s="3">
        <x:f>ABS('Raw Data'!G154)</x:f>
        <x:v>1741</x:v>
      </x:c>
      <x:c r="H154" t="str">
        <x:f>TRIM('Raw Data'!H154)</x:f>
        <x:v>Expense</x:v>
      </x:c>
      <x:c r="I154" s="3">
        <x:f>IF(H154="Income",G154,-G154)</x:f>
        <x:v>-1741</x:v>
      </x:c>
      <x:c r="J154" s="3">
        <x:f>IF(H154="Expense",SUMIFS('Budget Planning'!$C$2:$C$133,'Budget Planning'!$A$2:$A$133,B154,'Budget Planning'!$B$2:$B$133,D154),0)</x:f>
        <x:v>3835</x:v>
      </x:c>
      <x:c r="K154" s="3">
        <x:f>IF(H154="Expense",J154-SUMIFS($G$2:G154,$B$2:B154,B154,$D$2:D154,D154,$H$2:H154,"Expense"),0)</x:f>
        <x:v>-175</x:v>
      </x:c>
      <x:c r="L154" t="str">
        <x:f>'Raw Data'!L154</x:f>
        <x:v>Internet / mobile bill</x:v>
      </x:c>
    </x:row>
    <x:row r="155">
      <x:c r="A155" s="2">
        <x:f>'Raw Data'!A155</x:f>
        <x:v>46338</x:v>
      </x:c>
      <x:c r="B155" t="str">
        <x:f>TRIM('Raw Data'!B155)</x:f>
        <x:v>Nov-26</x:v>
      </x:c>
      <x:c r="C155">
        <x:f>TRIM('Raw Data'!C155)</x:f>
      </x:c>
      <x:c r="D155" t="str">
        <x:f>TRIM('Raw Data'!D155)</x:f>
        <x:v>Food</x:v>
      </x:c>
      <x:c r="E155" t="str">
        <x:f>TRIM('Raw Data'!E155)</x:f>
        <x:v>Variable</x:v>
      </x:c>
      <x:c r="F155" t="str">
        <x:f>TRIM('Raw Data'!F155)</x:f>
        <x:v>UPI</x:v>
      </x:c>
      <x:c r="G155" s="3">
        <x:f>ABS('Raw Data'!G155)</x:f>
        <x:v>1436</x:v>
      </x:c>
      <x:c r="H155" t="str">
        <x:f>TRIM('Raw Data'!H155)</x:f>
        <x:v>Expense</x:v>
      </x:c>
      <x:c r="I155" s="3">
        <x:f>IF(H155="Income",G155,-G155)</x:f>
        <x:v>-1436</x:v>
      </x:c>
      <x:c r="J155" s="3">
        <x:f>IF(H155="Expense",SUMIFS('Budget Planning'!$C$2:$C$133,'Budget Planning'!$A$2:$A$133,B155,'Budget Planning'!$B$2:$B$133,D155),0)</x:f>
        <x:v>6044</x:v>
      </x:c>
      <x:c r="K155" s="3">
        <x:f>IF(H155="Expense",J155-SUMIFS($G$2:G155,$B$2:B155,B155,$D$2:D155,D155,$H$2:H155,"Expense"),0)</x:f>
        <x:v>4608</x:v>
      </x:c>
      <x:c r="L155" t="str">
        <x:f>'Raw Data'!L155</x:f>
        <x:v>Dining out / office lunch</x:v>
      </x:c>
    </x:row>
    <x:row r="156">
      <x:c r="A156" s="2">
        <x:f>'Raw Data'!A156</x:f>
        <x:v>46342</x:v>
      </x:c>
      <x:c r="B156" t="str">
        <x:f>TRIM('Raw Data'!B156)</x:f>
        <x:v>Nov-26</x:v>
      </x:c>
      <x:c r="C156">
        <x:f>TRIM('Raw Data'!C156)</x:f>
      </x:c>
      <x:c r="D156" t="str">
        <x:f>TRIM('Raw Data'!D156)</x:f>
        <x:v>Shopping</x:v>
      </x:c>
      <x:c r="E156" t="str">
        <x:f>TRIM('Raw Data'!E156)</x:f>
        <x:v>Variable</x:v>
      </x:c>
      <x:c r="F156" t="str">
        <x:f>TRIM('Raw Data'!F156)</x:f>
        <x:v>UPI</x:v>
      </x:c>
      <x:c r="G156" s="3">
        <x:f>ABS('Raw Data'!G156)</x:f>
        <x:v>6454</x:v>
      </x:c>
      <x:c r="H156" t="str">
        <x:f>TRIM('Raw Data'!H156)</x:f>
        <x:v>Expense</x:v>
      </x:c>
      <x:c r="I156" s="3">
        <x:f>IF(H156="Income",G156,-G156)</x:f>
        <x:v>-6454</x:v>
      </x:c>
      <x:c r="J156" s="3">
        <x:f>IF(H156="Expense",SUMIFS('Budget Planning'!$C$2:$C$133,'Budget Planning'!$A$2:$A$133,B156,'Budget Planning'!$B$2:$B$133,D156),0)</x:f>
        <x:v>5742</x:v>
      </x:c>
      <x:c r="K156" s="3">
        <x:f>IF(H156="Expense",J156-SUMIFS($G$2:G156,$B$2:B156,B156,$D$2:D156,D156,$H$2:H156,"Expense"),0)</x:f>
        <x:v>-712</x:v>
      </x:c>
      <x:c r="L156" t="str">
        <x:f>'Raw Data'!L156</x:f>
        <x:v>Apparel / lifestyle purchase</x:v>
      </x:c>
    </x:row>
    <x:row r="157">
      <x:c r="A157" s="2">
        <x:f>'Raw Data'!A157</x:f>
        <x:v>46343</x:v>
      </x:c>
      <x:c r="B157" t="str">
        <x:f>TRIM('Raw Data'!B157)</x:f>
        <x:v>Nov-26</x:v>
      </x:c>
      <x:c r="C157">
        <x:f>TRIM('Raw Data'!C157)</x:f>
      </x:c>
      <x:c r="D157" t="str">
        <x:f>TRIM('Raw Data'!D157)</x:f>
        <x:v>Healthcare</x:v>
      </x:c>
      <x:c r="E157" t="str">
        <x:f>TRIM('Raw Data'!E157)</x:f>
        <x:v>Variable</x:v>
      </x:c>
      <x:c r="F157" t="str">
        <x:f>TRIM('Raw Data'!F157)</x:f>
        <x:v>Cash</x:v>
      </x:c>
      <x:c r="G157" s="3">
        <x:f>ABS('Raw Data'!G157)</x:f>
        <x:v>3270</x:v>
      </x:c>
      <x:c r="H157" t="str">
        <x:f>TRIM('Raw Data'!H157)</x:f>
        <x:v>Expense</x:v>
      </x:c>
      <x:c r="I157" s="3">
        <x:f>IF(H157="Income",G157,-G157)</x:f>
        <x:v>-3270</x:v>
      </x:c>
      <x:c r="J157" s="3">
        <x:f>IF(H157="Expense",SUMIFS('Budget Planning'!$C$2:$C$133,'Budget Planning'!$A$2:$A$133,B157,'Budget Planning'!$B$2:$B$133,D157),0)</x:f>
        <x:v>3716</x:v>
      </x:c>
      <x:c r="K157" s="3">
        <x:f>IF(H157="Expense",J157-SUMIFS($G$2:G157,$B$2:B157,B157,$D$2:D157,D157,$H$2:H157,"Expense"),0)</x:f>
        <x:v>446</x:v>
      </x:c>
      <x:c r="L157" t="str">
        <x:f>'Raw Data'!L157</x:f>
        <x:v>Medicines / doctor consultation</x:v>
      </x:c>
    </x:row>
    <x:row r="158">
      <x:c r="A158" s="2">
        <x:f>'Raw Data'!A158</x:f>
        <x:v>46344</x:v>
      </x:c>
      <x:c r="B158" t="str">
        <x:f>TRIM('Raw Data'!B158)</x:f>
        <x:v>Nov-26</x:v>
      </x:c>
      <x:c r="C158">
        <x:f>TRIM('Raw Data'!C158)</x:f>
      </x:c>
      <x:c r="D158" t="str">
        <x:f>TRIM('Raw Data'!D158)</x:f>
        <x:v>Entertainment</x:v>
      </x:c>
      <x:c r="E158" t="str">
        <x:f>TRIM('Raw Data'!E158)</x:f>
        <x:v>Variable</x:v>
      </x:c>
      <x:c r="F158" t="str">
        <x:f>TRIM('Raw Data'!F158)</x:f>
        <x:v>UPI</x:v>
      </x:c>
      <x:c r="G158" s="3">
        <x:f>ABS('Raw Data'!G158)</x:f>
        <x:v>1457</x:v>
      </x:c>
      <x:c r="H158" t="str">
        <x:f>TRIM('Raw Data'!H158)</x:f>
        <x:v>Expense</x:v>
      </x:c>
      <x:c r="I158" s="3">
        <x:f>IF(H158="Income",G158,-G158)</x:f>
        <x:v>-1457</x:v>
      </x:c>
      <x:c r="J158" s="3">
        <x:f>IF(H158="Expense",SUMIFS('Budget Planning'!$C$2:$C$133,'Budget Planning'!$A$2:$A$133,B158,'Budget Planning'!$B$2:$B$133,D158),0)</x:f>
        <x:v>3210</x:v>
      </x:c>
      <x:c r="K158" s="3">
        <x:f>IF(H158="Expense",J158-SUMIFS($G$2:G158,$B$2:B158,B158,$D$2:D158,D158,$H$2:H158,"Expense"),0)</x:f>
        <x:v>1753</x:v>
      </x:c>
      <x:c r="L158" t="str">
        <x:f>'Raw Data'!L158</x:f>
        <x:v>Movies / subscriptions</x:v>
      </x:c>
    </x:row>
    <x:row r="159">
      <x:c r="A159" s="2">
        <x:f>'Raw Data'!A159</x:f>
        <x:v>46347</x:v>
      </x:c>
      <x:c r="B159" t="str">
        <x:f>TRIM('Raw Data'!B159)</x:f>
        <x:v>Nov-26</x:v>
      </x:c>
      <x:c r="C159">
        <x:f>TRIM('Raw Data'!C159)</x:f>
      </x:c>
      <x:c r="D159" t="str">
        <x:f>TRIM('Raw Data'!D159)</x:f>
        <x:v>Groceries</x:v>
      </x:c>
      <x:c r="E159" t="str">
        <x:f>TRIM('Raw Data'!E159)</x:f>
        <x:v>Variable</x:v>
      </x:c>
      <x:c r="F159" t="str">
        <x:f>TRIM('Raw Data'!F159)</x:f>
        <x:v>Credit Card</x:v>
      </x:c>
      <x:c r="G159" s="3">
        <x:f>ABS('Raw Data'!G159)</x:f>
        <x:v>3075</x:v>
      </x:c>
      <x:c r="H159" t="str">
        <x:f>TRIM('Raw Data'!H159)</x:f>
        <x:v>Expense</x:v>
      </x:c>
      <x:c r="I159" s="3">
        <x:f>IF(H159="Income",G159,-G159)</x:f>
        <x:v>-3075</x:v>
      </x:c>
      <x:c r="J159" s="3">
        <x:f>IF(H159="Expense",SUMIFS('Budget Planning'!$C$2:$C$133,'Budget Planning'!$A$2:$A$133,B159,'Budget Planning'!$B$2:$B$133,D159),0)</x:f>
        <x:v>7870</x:v>
      </x:c>
      <x:c r="K159" s="3">
        <x:f>IF(H159="Expense",J159-SUMIFS($G$2:G159,$B$2:B159,B159,$D$2:D159,D159,$H$2:H159,"Expense"),0)</x:f>
        <x:v>637</x:v>
      </x:c>
      <x:c r="L159" t="str">
        <x:f>'Raw Data'!L159</x:f>
        <x:v>Monthly essentials restock</x:v>
      </x:c>
    </x:row>
    <x:row r="160">
      <x:c r="A160" s="2">
        <x:f>'Raw Data'!A160</x:f>
        <x:v>46349</x:v>
      </x:c>
      <x:c r="B160" t="str">
        <x:f>TRIM('Raw Data'!B160)</x:f>
        <x:v>Nov-26</x:v>
      </x:c>
      <x:c r="C160">
        <x:f>TRIM('Raw Data'!C160)</x:f>
      </x:c>
      <x:c r="D160" t="str">
        <x:f>TRIM('Raw Data'!D160)</x:f>
        <x:v>Shopping</x:v>
      </x:c>
      <x:c r="E160" t="str">
        <x:f>TRIM('Raw Data'!E160)</x:f>
        <x:v>Variable</x:v>
      </x:c>
      <x:c r="F160" t="str">
        <x:f>TRIM('Raw Data'!F160)</x:f>
        <x:v>Credit Card</x:v>
      </x:c>
      <x:c r="G160" s="3">
        <x:f>ABS('Raw Data'!G160)</x:f>
        <x:v>5008</x:v>
      </x:c>
      <x:c r="H160" t="str">
        <x:f>TRIM('Raw Data'!H160)</x:f>
        <x:v>Expense</x:v>
      </x:c>
      <x:c r="I160" s="3">
        <x:f>IF(H160="Income",G160,-G160)</x:f>
        <x:v>-5008</x:v>
      </x:c>
      <x:c r="J160" s="3">
        <x:f>IF(H160="Expense",SUMIFS('Budget Planning'!$C$2:$C$133,'Budget Planning'!$A$2:$A$133,B160,'Budget Planning'!$B$2:$B$133,D160),0)</x:f>
        <x:v>5742</x:v>
      </x:c>
      <x:c r="K160" s="3">
        <x:f>IF(H160="Expense",J160-SUMIFS($G$2:G160,$B$2:B160,B160,$D$2:D160,D160,$H$2:H160,"Expense"),0)</x:f>
        <x:v>-5720</x:v>
      </x:c>
      <x:c r="L160" t="str">
        <x:f>'Raw Data'!L160</x:f>
        <x:v>Seasonal / festive shopping</x:v>
      </x:c>
    </x:row>
    <x:row r="161">
      <x:c r="A161" s="2">
        <x:f>'Raw Data'!A161</x:f>
        <x:v>46351</x:v>
      </x:c>
      <x:c r="B161" t="str">
        <x:f>TRIM('Raw Data'!B161)</x:f>
        <x:v>Nov-26</x:v>
      </x:c>
      <x:c r="C161">
        <x:f>TRIM('Raw Data'!C161)</x:f>
      </x:c>
      <x:c r="D161" t="str">
        <x:f>TRIM('Raw Data'!D161)</x:f>
        <x:v>Food</x:v>
      </x:c>
      <x:c r="E161" t="str">
        <x:f>TRIM('Raw Data'!E161)</x:f>
        <x:v>Variable</x:v>
      </x:c>
      <x:c r="F161" t="str">
        <x:f>TRIM('Raw Data'!F161)</x:f>
        <x:v>Cash</x:v>
      </x:c>
      <x:c r="G161" s="3">
        <x:f>ABS('Raw Data'!G161)</x:f>
        <x:v>2720</x:v>
      </x:c>
      <x:c r="H161" t="str">
        <x:f>TRIM('Raw Data'!H161)</x:f>
        <x:v>Expense</x:v>
      </x:c>
      <x:c r="I161" s="3">
        <x:f>IF(H161="Income",G161,-G161)</x:f>
        <x:v>-2720</x:v>
      </x:c>
      <x:c r="J161" s="3">
        <x:f>IF(H161="Expense",SUMIFS('Budget Planning'!$C$2:$C$133,'Budget Planning'!$A$2:$A$133,B161,'Budget Planning'!$B$2:$B$133,D161),0)</x:f>
        <x:v>6044</x:v>
      </x:c>
      <x:c r="K161" s="3">
        <x:f>IF(H161="Expense",J161-SUMIFS($G$2:G161,$B$2:B161,B161,$D$2:D161,D161,$H$2:H161,"Expense"),0)</x:f>
        <x:v>1888</x:v>
      </x:c>
      <x:c r="L161" t="str">
        <x:f>'Raw Data'!L161</x:f>
        <x:v>Weekend food order</x:v>
      </x:c>
    </x:row>
    <x:row r="162">
      <x:c r="A162" s="2">
        <x:f>'Raw Data'!A162</x:f>
        <x:v>46352</x:v>
      </x:c>
      <x:c r="B162" t="str">
        <x:f>TRIM('Raw Data'!B162)</x:f>
        <x:v>Nov-26</x:v>
      </x:c>
      <x:c r="C162">
        <x:f>TRIM('Raw Data'!C162)</x:f>
      </x:c>
      <x:c r="D162" t="str">
        <x:f>TRIM('Raw Data'!D162)</x:f>
        <x:v>Education</x:v>
      </x:c>
      <x:c r="E162" t="str">
        <x:f>TRIM('Raw Data'!E162)</x:f>
        <x:v>Variable</x:v>
      </x:c>
      <x:c r="F162" t="str">
        <x:f>TRIM('Raw Data'!F162)</x:f>
        <x:v>Credit Card</x:v>
      </x:c>
      <x:c r="G162" s="3">
        <x:f>ABS('Raw Data'!G162)</x:f>
        <x:v>2828</x:v>
      </x:c>
      <x:c r="H162" t="str">
        <x:f>TRIM('Raw Data'!H162)</x:f>
        <x:v>Expense</x:v>
      </x:c>
      <x:c r="I162" s="3">
        <x:f>IF(H162="Income",G162,-G162)</x:f>
        <x:v>-2828</x:v>
      </x:c>
      <x:c r="J162" s="3">
        <x:f>IF(H162="Expense",SUMIFS('Budget Planning'!$C$2:$C$133,'Budget Planning'!$A$2:$A$133,B162,'Budget Planning'!$B$2:$B$133,D162),0)</x:f>
        <x:v>2192</x:v>
      </x:c>
      <x:c r="K162" s="3">
        <x:f>IF(H162="Expense",J162-SUMIFS($G$2:G162,$B$2:B162,B162,$D$2:D162,D162,$H$2:H162,"Expense"),0)</x:f>
        <x:v>-636</x:v>
      </x:c>
      <x:c r="L162" t="str">
        <x:f>'Raw Data'!L162</x:f>
        <x:v>Course / books / certification</x:v>
      </x:c>
    </x:row>
    <x:row r="163">
      <x:c r="A163" s="2">
        <x:f>'Raw Data'!A163</x:f>
        <x:v>46357</x:v>
      </x:c>
      <x:c r="B163" t="str">
        <x:f>TRIM('Raw Data'!B163)</x:f>
        <x:v>Dec-26</x:v>
      </x:c>
      <x:c r="C163" t="str">
        <x:f>TRIM('Raw Data'!C163)</x:f>
        <x:v>Salary</x:v>
      </x:c>
      <x:c r="D163">
        <x:f>TRIM('Raw Data'!D163)</x:f>
      </x:c>
      <x:c r="E163" t="str">
        <x:f>TRIM('Raw Data'!E163)</x:f>
        <x:v>N/A</x:v>
      </x:c>
      <x:c r="F163" t="str">
        <x:f>TRIM('Raw Data'!F163)</x:f>
        <x:v>Bank Transfer</x:v>
      </x:c>
      <x:c r="G163" s="3">
        <x:f>ABS('Raw Data'!G163)</x:f>
        <x:v>94416</x:v>
      </x:c>
      <x:c r="H163" t="str">
        <x:f>TRIM('Raw Data'!H163)</x:f>
        <x:v>Income</x:v>
      </x:c>
      <x:c r="I163" s="3">
        <x:f>IF(H163="Income",G163,-G163)</x:f>
        <x:v>94416</x:v>
      </x:c>
      <x:c r="J163" s="3">
        <x:f>IF(H163="Expense",SUMIFS('Budget Planning'!$C$2:$C$133,'Budget Planning'!$A$2:$A$133,B163,'Budget Planning'!$B$2:$B$133,D163),0)</x:f>
        <x:v>0</x:v>
      </x:c>
      <x:c r="K163" s="3">
        <x:f>IF(H163="Expense",J163-SUMIFS($G$2:G163,$B$2:B163,B163,$D$2:D163,D163,$H$2:H163,"Expense"),0)</x:f>
        <x:v>0</x:v>
      </x:c>
      <x:c r="L163" t="str">
        <x:f>'Raw Data'!L163</x:f>
        <x:v>Monthly salary credited</x:v>
      </x:c>
    </x:row>
    <x:row r="164">
      <x:c r="A164" s="2">
        <x:f>'Raw Data'!A164</x:f>
        <x:v>46358</x:v>
      </x:c>
      <x:c r="B164" t="str">
        <x:f>TRIM('Raw Data'!B164)</x:f>
        <x:v>Dec-26</x:v>
      </x:c>
      <x:c r="C164">
        <x:f>TRIM('Raw Data'!C164)</x:f>
      </x:c>
      <x:c r="D164" t="str">
        <x:f>TRIM('Raw Data'!D164)</x:f>
        <x:v>Rent</x:v>
      </x:c>
      <x:c r="E164" t="str">
        <x:f>TRIM('Raw Data'!E164)</x:f>
        <x:v>Fixed</x:v>
      </x:c>
      <x:c r="F164" t="str">
        <x:f>TRIM('Raw Data'!F164)</x:f>
        <x:v>Bank Transfer</x:v>
      </x:c>
      <x:c r="G164" s="3">
        <x:f>ABS('Raw Data'!G164)</x:f>
        <x:v>28000</x:v>
      </x:c>
      <x:c r="H164" t="str">
        <x:f>TRIM('Raw Data'!H164)</x:f>
        <x:v>Expense</x:v>
      </x:c>
      <x:c r="I164" s="3">
        <x:f>IF(H164="Income",G164,-G164)</x:f>
        <x:v>-28000</x:v>
      </x:c>
      <x:c r="J164" s="3">
        <x:f>IF(H164="Expense",SUMIFS('Budget Planning'!$C$2:$C$133,'Budget Planning'!$A$2:$A$133,B164,'Budget Planning'!$B$2:$B$133,D164),0)</x:f>
        <x:v>28000</x:v>
      </x:c>
      <x:c r="K164" s="3">
        <x:f>IF(H164="Expense",J164-SUMIFS($G$2:G164,$B$2:B164,B164,$D$2:D164,D164,$H$2:H164,"Expense"),0)</x:f>
        <x:v>0</x:v>
      </x:c>
      <x:c r="L164" t="str">
        <x:f>'Raw Data'!L164</x:f>
        <x:v>House rent payment</x:v>
      </x:c>
    </x:row>
    <x:row r="165">
      <x:c r="A165" s="2">
        <x:f>'Raw Data'!A165</x:f>
        <x:v>46361</x:v>
      </x:c>
      <x:c r="B165" t="str">
        <x:f>TRIM('Raw Data'!B165)</x:f>
        <x:v>Dec-26</x:v>
      </x:c>
      <x:c r="C165">
        <x:f>TRIM('Raw Data'!C165)</x:f>
      </x:c>
      <x:c r="D165" t="str">
        <x:f>TRIM('Raw Data'!D165)</x:f>
        <x:v>EMI</x:v>
      </x:c>
      <x:c r="E165" t="str">
        <x:f>TRIM('Raw Data'!E165)</x:f>
        <x:v>Fixed</x:v>
      </x:c>
      <x:c r="F165" t="str">
        <x:f>TRIM('Raw Data'!F165)</x:f>
        <x:v>Bank Transfer</x:v>
      </x:c>
      <x:c r="G165" s="3">
        <x:f>ABS('Raw Data'!G165)</x:f>
        <x:v>9000</x:v>
      </x:c>
      <x:c r="H165" t="str">
        <x:f>TRIM('Raw Data'!H165)</x:f>
        <x:v>Expense</x:v>
      </x:c>
      <x:c r="I165" s="3">
        <x:f>IF(H165="Income",G165,-G165)</x:f>
        <x:v>-9000</x:v>
      </x:c>
      <x:c r="J165" s="3">
        <x:f>IF(H165="Expense",SUMIFS('Budget Planning'!$C$2:$C$133,'Budget Planning'!$A$2:$A$133,B165,'Budget Planning'!$B$2:$B$133,D165),0)</x:f>
        <x:v>9000</x:v>
      </x:c>
      <x:c r="K165" s="3">
        <x:f>IF(H165="Expense",J165-SUMIFS($G$2:G165,$B$2:B165,B165,$D$2:D165,D165,$H$2:H165,"Expense"),0)</x:f>
        <x:v>0</x:v>
      </x:c>
      <x:c r="L165" t="str">
        <x:f>'Raw Data'!L165</x:f>
        <x:v>Personal loan EMI</x:v>
      </x:c>
    </x:row>
    <x:row r="166">
      <x:c r="A166" s="2">
        <x:f>'Raw Data'!A166</x:f>
        <x:v>46363</x:v>
      </x:c>
      <x:c r="B166" t="str">
        <x:f>TRIM('Raw Data'!B166)</x:f>
        <x:v>Dec-26</x:v>
      </x:c>
      <x:c r="C166">
        <x:f>TRIM('Raw Data'!C166)</x:f>
      </x:c>
      <x:c r="D166" t="str">
        <x:f>TRIM('Raw Data'!D166)</x:f>
        <x:v>Groceries</x:v>
      </x:c>
      <x:c r="E166" t="str">
        <x:f>TRIM('Raw Data'!E166)</x:f>
        <x:v>Variable</x:v>
      </x:c>
      <x:c r="F166" t="str">
        <x:f>TRIM('Raw Data'!F166)</x:f>
        <x:v>Credit Card</x:v>
      </x:c>
      <x:c r="G166" s="3">
        <x:f>ABS('Raw Data'!G166)</x:f>
        <x:v>2807</x:v>
      </x:c>
      <x:c r="H166" t="str">
        <x:f>TRIM('Raw Data'!H166)</x:f>
        <x:v>Expense</x:v>
      </x:c>
      <x:c r="I166" s="3">
        <x:f>IF(H166="Income",G166,-G166)</x:f>
        <x:v>-2807</x:v>
      </x:c>
      <x:c r="J166" s="3">
        <x:f>IF(H166="Expense",SUMIFS('Budget Planning'!$C$2:$C$133,'Budget Planning'!$A$2:$A$133,B166,'Budget Planning'!$B$2:$B$133,D166),0)</x:f>
        <x:v>6905</x:v>
      </x:c>
      <x:c r="K166" s="3">
        <x:f>IF(H166="Expense",J166-SUMIFS($G$2:G166,$B$2:B166,B166,$D$2:D166,D166,$H$2:H166,"Expense"),0)</x:f>
        <x:v>4098</x:v>
      </x:c>
      <x:c r="L166" t="str">
        <x:f>'Raw Data'!L166</x:f>
        <x:v>Supermarket groceries</x:v>
      </x:c>
    </x:row>
    <x:row r="167">
      <x:c r="A167" s="2">
        <x:f>'Raw Data'!A167</x:f>
        <x:v>46364</x:v>
      </x:c>
      <x:c r="B167" t="str">
        <x:f>TRIM('Raw Data'!B167)</x:f>
        <x:v>Dec-26</x:v>
      </x:c>
      <x:c r="C167">
        <x:f>TRIM('Raw Data'!C167)</x:f>
      </x:c>
      <x:c r="D167" t="str">
        <x:f>TRIM('Raw Data'!D167)</x:f>
        <x:v>Utilities</x:v>
      </x:c>
      <x:c r="E167" t="str">
        <x:f>TRIM('Raw Data'!E167)</x:f>
        <x:v>Fixed</x:v>
      </x:c>
      <x:c r="F167" t="str">
        <x:f>TRIM('Raw Data'!F167)</x:f>
        <x:v>Bank Transfer</x:v>
      </x:c>
      <x:c r="G167" s="3">
        <x:f>ABS('Raw Data'!G167)</x:f>
        <x:v>2033</x:v>
      </x:c>
      <x:c r="H167" t="str">
        <x:f>TRIM('Raw Data'!H167)</x:f>
        <x:v>Expense</x:v>
      </x:c>
      <x:c r="I167" s="3">
        <x:f>IF(H167="Income",G167,-G167)</x:f>
        <x:v>-2033</x:v>
      </x:c>
      <x:c r="J167" s="3">
        <x:f>IF(H167="Expense",SUMIFS('Budget Planning'!$C$2:$C$133,'Budget Planning'!$A$2:$A$133,B167,'Budget Planning'!$B$2:$B$133,D167),0)</x:f>
        <x:v>4503</x:v>
      </x:c>
      <x:c r="K167" s="3">
        <x:f>IF(H167="Expense",J167-SUMIFS($G$2:G167,$B$2:B167,B167,$D$2:D167,D167,$H$2:H167,"Expense"),0)</x:f>
        <x:v>2470</x:v>
      </x:c>
      <x:c r="L167" t="str">
        <x:f>'Raw Data'!L167</x:f>
        <x:v>Electricity bill</x:v>
      </x:c>
    </x:row>
    <x:row r="168">
      <x:c r="A168" s="2">
        <x:f>'Raw Data'!A168</x:f>
        <x:v>46365</x:v>
      </x:c>
      <x:c r="B168" t="str">
        <x:f>TRIM('Raw Data'!B168)</x:f>
        <x:v>Dec-26</x:v>
      </x:c>
      <x:c r="C168" t="str">
        <x:f>TRIM('Raw Data'!C168)</x:f>
        <x:v>Freelance</x:v>
      </x:c>
      <x:c r="D168">
        <x:f>TRIM('Raw Data'!D168)</x:f>
      </x:c>
      <x:c r="E168" t="str">
        <x:f>TRIM('Raw Data'!E168)</x:f>
        <x:v>N/A</x:v>
      </x:c>
      <x:c r="F168" t="str">
        <x:f>TRIM('Raw Data'!F168)</x:f>
        <x:v>Bank Transfer</x:v>
      </x:c>
      <x:c r="G168" s="3">
        <x:f>ABS('Raw Data'!G168)</x:f>
        <x:v>25862</x:v>
      </x:c>
      <x:c r="H168" t="str">
        <x:f>TRIM('Raw Data'!H168)</x:f>
        <x:v>Income</x:v>
      </x:c>
      <x:c r="I168" s="3">
        <x:f>IF(H168="Income",G168,-G168)</x:f>
        <x:v>25862</x:v>
      </x:c>
      <x:c r="J168" s="3">
        <x:f>IF(H168="Expense",SUMIFS('Budget Planning'!$C$2:$C$133,'Budget Planning'!$A$2:$A$133,B168,'Budget Planning'!$B$2:$B$133,D168),0)</x:f>
        <x:v>0</x:v>
      </x:c>
      <x:c r="K168" s="3">
        <x:f>IF(H168="Expense",J168-SUMIFS($G$2:G168,$B$2:B168,B168,$D$2:D168,D168,$H$2:H168,"Expense"),0)</x:f>
        <x:v>0</x:v>
      </x:c>
      <x:c r="L168" t="str">
        <x:f>'Raw Data'!L168</x:f>
        <x:v>Freelance project payment</x:v>
      </x:c>
    </x:row>
    <x:row r="169">
      <x:c r="A169" s="2">
        <x:f>'Raw Data'!A169</x:f>
        <x:v>46367</x:v>
      </x:c>
      <x:c r="B169" t="str">
        <x:f>TRIM('Raw Data'!B169)</x:f>
        <x:v>Dec-26</x:v>
      </x:c>
      <x:c r="C169">
        <x:f>TRIM('Raw Data'!C169)</x:f>
      </x:c>
      <x:c r="D169" t="str">
        <x:f>TRIM('Raw Data'!D169)</x:f>
        <x:v>Utilities</x:v>
      </x:c>
      <x:c r="E169" t="str">
        <x:f>TRIM('Raw Data'!E169)</x:f>
        <x:v>Fixed</x:v>
      </x:c>
      <x:c r="F169" t="str">
        <x:f>TRIM('Raw Data'!F169)</x:f>
        <x:v>UPI</x:v>
      </x:c>
      <x:c r="G169" s="3">
        <x:f>ABS('Raw Data'!G169)</x:f>
        <x:v>2049</x:v>
      </x:c>
      <x:c r="H169" t="str">
        <x:f>TRIM('Raw Data'!H169)</x:f>
        <x:v>Expense</x:v>
      </x:c>
      <x:c r="I169" s="3">
        <x:f>IF(H169="Income",G169,-G169)</x:f>
        <x:v>-2049</x:v>
      </x:c>
      <x:c r="J169" s="3">
        <x:f>IF(H169="Expense",SUMIFS('Budget Planning'!$C$2:$C$133,'Budget Planning'!$A$2:$A$133,B169,'Budget Planning'!$B$2:$B$133,D169),0)</x:f>
        <x:v>4503</x:v>
      </x:c>
      <x:c r="K169" s="3">
        <x:f>IF(H169="Expense",J169-SUMIFS($G$2:G169,$B$2:B169,B169,$D$2:D169,D169,$H$2:H169,"Expense"),0)</x:f>
        <x:v>421</x:v>
      </x:c>
      <x:c r="L169" t="str">
        <x:f>'Raw Data'!L169</x:f>
        <x:v>Internet / mobile bill</x:v>
      </x:c>
    </x:row>
    <x:row r="170">
      <x:c r="A170" s="2">
        <x:f>'Raw Data'!A170</x:f>
        <x:v>46368</x:v>
      </x:c>
      <x:c r="B170" t="str">
        <x:f>TRIM('Raw Data'!B170)</x:f>
        <x:v>Dec-26</x:v>
      </x:c>
      <x:c r="C170">
        <x:f>TRIM('Raw Data'!C170)</x:f>
      </x:c>
      <x:c r="D170" t="str">
        <x:f>TRIM('Raw Data'!D170)</x:f>
        <x:v>Food</x:v>
      </x:c>
      <x:c r="E170" t="str">
        <x:f>TRIM('Raw Data'!E170)</x:f>
        <x:v>Variable</x:v>
      </x:c>
      <x:c r="F170" t="str">
        <x:f>TRIM('Raw Data'!F170)</x:f>
        <x:v>UPI</x:v>
      </x:c>
      <x:c r="G170" s="3">
        <x:f>ABS('Raw Data'!G170)</x:f>
        <x:v>1736</x:v>
      </x:c>
      <x:c r="H170" t="str">
        <x:f>TRIM('Raw Data'!H170)</x:f>
        <x:v>Expense</x:v>
      </x:c>
      <x:c r="I170" s="3">
        <x:f>IF(H170="Income",G170,-G170)</x:f>
        <x:v>-1736</x:v>
      </x:c>
      <x:c r="J170" s="3">
        <x:f>IF(H170="Expense",SUMIFS('Budget Planning'!$C$2:$C$133,'Budget Planning'!$A$2:$A$133,B170,'Budget Planning'!$B$2:$B$133,D170),0)</x:f>
        <x:v>6549</x:v>
      </x:c>
      <x:c r="K170" s="3">
        <x:f>IF(H170="Expense",J170-SUMIFS($G$2:G170,$B$2:B170,B170,$D$2:D170,D170,$H$2:H170,"Expense"),0)</x:f>
        <x:v>4813</x:v>
      </x:c>
      <x:c r="L170" t="str">
        <x:f>'Raw Data'!L170</x:f>
        <x:v>Dining out / office lunch</x:v>
      </x:c>
    </x:row>
    <x:row r="171">
      <x:c r="A171" s="2">
        <x:f>'Raw Data'!A171</x:f>
        <x:v>46371</x:v>
      </x:c>
      <x:c r="B171" t="str">
        <x:f>TRIM('Raw Data'!B171)</x:f>
        <x:v>Dec-26</x:v>
      </x:c>
      <x:c r="C171">
        <x:f>TRIM('Raw Data'!C171)</x:f>
      </x:c>
      <x:c r="D171" t="str">
        <x:f>TRIM('Raw Data'!D171)</x:f>
        <x:v>Travel</x:v>
      </x:c>
      <x:c r="E171" t="str">
        <x:f>TRIM('Raw Data'!E171)</x:f>
        <x:v>Variable</x:v>
      </x:c>
      <x:c r="F171" t="str">
        <x:f>TRIM('Raw Data'!F171)</x:f>
        <x:v>Cash</x:v>
      </x:c>
      <x:c r="G171" s="3">
        <x:f>ABS('Raw Data'!G171)</x:f>
        <x:v>3021</x:v>
      </x:c>
      <x:c r="H171" t="str">
        <x:f>TRIM('Raw Data'!H171)</x:f>
        <x:v>Expense</x:v>
      </x:c>
      <x:c r="I171" s="3">
        <x:f>IF(H171="Income",G171,-G171)</x:f>
        <x:v>-3021</x:v>
      </x:c>
      <x:c r="J171" s="3">
        <x:f>IF(H171="Expense",SUMIFS('Budget Planning'!$C$2:$C$133,'Budget Planning'!$A$2:$A$133,B171,'Budget Planning'!$B$2:$B$133,D171),0)</x:f>
        <x:v>5097</x:v>
      </x:c>
      <x:c r="K171" s="3">
        <x:f>IF(H171="Expense",J171-SUMIFS($G$2:G171,$B$2:B171,B171,$D$2:D171,D171,$H$2:H171,"Expense"),0)</x:f>
        <x:v>2076</x:v>
      </x:c>
      <x:c r="L171" t="str">
        <x:f>'Raw Data'!L171</x:f>
        <x:v>Cab / fuel / local travel</x:v>
      </x:c>
    </x:row>
    <x:row r="172">
      <x:c r="A172" s="2">
        <x:f>'Raw Data'!A172</x:f>
        <x:v>46372</x:v>
      </x:c>
      <x:c r="B172" t="str">
        <x:f>TRIM('Raw Data'!B172)</x:f>
        <x:v>Dec-26</x:v>
      </x:c>
      <x:c r="C172">
        <x:f>TRIM('Raw Data'!C172)</x:f>
      </x:c>
      <x:c r="D172" t="str">
        <x:f>TRIM('Raw Data'!D172)</x:f>
        <x:v>Shopping</x:v>
      </x:c>
      <x:c r="E172" t="str">
        <x:f>TRIM('Raw Data'!E172)</x:f>
        <x:v>Variable</x:v>
      </x:c>
      <x:c r="F172" t="str">
        <x:f>TRIM('Raw Data'!F172)</x:f>
        <x:v>UPI</x:v>
      </x:c>
      <x:c r="G172" s="3">
        <x:f>ABS('Raw Data'!G172)</x:f>
        <x:v>6094</x:v>
      </x:c>
      <x:c r="H172" t="str">
        <x:f>TRIM('Raw Data'!H172)</x:f>
        <x:v>Expense</x:v>
      </x:c>
      <x:c r="I172" s="3">
        <x:f>IF(H172="Income",G172,-G172)</x:f>
        <x:v>-6094</x:v>
      </x:c>
      <x:c r="J172" s="3">
        <x:f>IF(H172="Expense",SUMIFS('Budget Planning'!$C$2:$C$133,'Budget Planning'!$A$2:$A$133,B172,'Budget Planning'!$B$2:$B$133,D172),0)</x:f>
        <x:v>4938</x:v>
      </x:c>
      <x:c r="K172" s="3">
        <x:f>IF(H172="Expense",J172-SUMIFS($G$2:G172,$B$2:B172,B172,$D$2:D172,D172,$H$2:H172,"Expense"),0)</x:f>
        <x:v>-1156</x:v>
      </x:c>
      <x:c r="L172" t="str">
        <x:f>'Raw Data'!L172</x:f>
        <x:v>Apparel / lifestyle purchase</x:v>
      </x:c>
    </x:row>
    <x:row r="173">
      <x:c r="A173" s="2">
        <x:f>'Raw Data'!A173</x:f>
        <x:v>46374</x:v>
      </x:c>
      <x:c r="B173" t="str">
        <x:f>TRIM('Raw Data'!B173)</x:f>
        <x:v>Dec-26</x:v>
      </x:c>
      <x:c r="C173">
        <x:f>TRIM('Raw Data'!C173)</x:f>
      </x:c>
      <x:c r="D173" t="str">
        <x:f>TRIM('Raw Data'!D173)</x:f>
        <x:v>Entertainment</x:v>
      </x:c>
      <x:c r="E173" t="str">
        <x:f>TRIM('Raw Data'!E173)</x:f>
        <x:v>Variable</x:v>
      </x:c>
      <x:c r="F173" t="str">
        <x:f>TRIM('Raw Data'!F173)</x:f>
        <x:v>Cash</x:v>
      </x:c>
      <x:c r="G173" s="3">
        <x:f>ABS('Raw Data'!G173)</x:f>
        <x:v>2345</x:v>
      </x:c>
      <x:c r="H173" t="str">
        <x:f>TRIM('Raw Data'!H173)</x:f>
        <x:v>Expense</x:v>
      </x:c>
      <x:c r="I173" s="3">
        <x:f>IF(H173="Income",G173,-G173)</x:f>
        <x:v>-2345</x:v>
      </x:c>
      <x:c r="J173" s="3">
        <x:f>IF(H173="Expense",SUMIFS('Budget Planning'!$C$2:$C$133,'Budget Planning'!$A$2:$A$133,B173,'Budget Planning'!$B$2:$B$133,D173),0)</x:f>
        <x:v>3277</x:v>
      </x:c>
      <x:c r="K173" s="3">
        <x:f>IF(H173="Expense",J173-SUMIFS($G$2:G173,$B$2:B173,B173,$D$2:D173,D173,$H$2:H173,"Expense"),0)</x:f>
        <x:v>932</x:v>
      </x:c>
      <x:c r="L173" t="str">
        <x:f>'Raw Data'!L173</x:f>
        <x:v>Movies / subscriptions</x:v>
      </x:c>
    </x:row>
    <x:row r="174">
      <x:c r="A174" s="2">
        <x:f>'Raw Data'!A174</x:f>
        <x:v>46375</x:v>
      </x:c>
      <x:c r="B174" t="str">
        <x:f>TRIM('Raw Data'!B174)</x:f>
        <x:v>Dec-26</x:v>
      </x:c>
      <x:c r="C174">
        <x:f>TRIM('Raw Data'!C174)</x:f>
      </x:c>
      <x:c r="D174" t="str">
        <x:f>TRIM('Raw Data'!D174)</x:f>
        <x:v>Healthcare</x:v>
      </x:c>
      <x:c r="E174" t="str">
        <x:f>TRIM('Raw Data'!E174)</x:f>
        <x:v>Variable</x:v>
      </x:c>
      <x:c r="F174" t="str">
        <x:f>TRIM('Raw Data'!F174)</x:f>
        <x:v>Credit Card</x:v>
      </x:c>
      <x:c r="G174" s="3">
        <x:f>ABS('Raw Data'!G174)</x:f>
        <x:v>1480</x:v>
      </x:c>
      <x:c r="H174" t="str">
        <x:f>TRIM('Raw Data'!H174)</x:f>
        <x:v>Expense</x:v>
      </x:c>
      <x:c r="I174" s="3">
        <x:f>IF(H174="Income",G174,-G174)</x:f>
        <x:v>-1480</x:v>
      </x:c>
      <x:c r="J174" s="3">
        <x:f>IF(H174="Expense",SUMIFS('Budget Planning'!$C$2:$C$133,'Budget Planning'!$A$2:$A$133,B174,'Budget Planning'!$B$2:$B$133,D174),0)</x:f>
        <x:v>3595</x:v>
      </x:c>
      <x:c r="K174" s="3">
        <x:f>IF(H174="Expense",J174-SUMIFS($G$2:G174,$B$2:B174,B174,$D$2:D174,D174,$H$2:H174,"Expense"),0)</x:f>
        <x:v>2115</x:v>
      </x:c>
      <x:c r="L174" t="str">
        <x:f>'Raw Data'!L174</x:f>
        <x:v>Health and wellness spend</x:v>
      </x:c>
    </x:row>
    <x:row r="175">
      <x:c r="A175" s="2">
        <x:f>'Raw Data'!A175</x:f>
        <x:v>46376</x:v>
      </x:c>
      <x:c r="B175" t="str">
        <x:f>TRIM('Raw Data'!B175)</x:f>
        <x:v>Dec-26</x:v>
      </x:c>
      <x:c r="C175" t="str">
        <x:f>TRIM('Raw Data'!C175)</x:f>
        <x:v>Bonus</x:v>
      </x:c>
      <x:c r="D175">
        <x:f>TRIM('Raw Data'!D175)</x:f>
      </x:c>
      <x:c r="E175" t="str">
        <x:f>TRIM('Raw Data'!E175)</x:f>
        <x:v>N/A</x:v>
      </x:c>
      <x:c r="F175" t="str">
        <x:f>TRIM('Raw Data'!F175)</x:f>
        <x:v>Bank Transfer</x:v>
      </x:c>
      <x:c r="G175" s="3">
        <x:f>ABS('Raw Data'!G175)</x:f>
        <x:v>45000</x:v>
      </x:c>
      <x:c r="H175" t="str">
        <x:f>TRIM('Raw Data'!H175)</x:f>
        <x:v>Income</x:v>
      </x:c>
      <x:c r="I175" s="3">
        <x:f>IF(H175="Income",G175,-G175)</x:f>
        <x:v>45000</x:v>
      </x:c>
      <x:c r="J175" s="3">
        <x:f>IF(H175="Expense",SUMIFS('Budget Planning'!$C$2:$C$133,'Budget Planning'!$A$2:$A$133,B175,'Budget Planning'!$B$2:$B$133,D175),0)</x:f>
        <x:v>0</x:v>
      </x:c>
      <x:c r="K175" s="3">
        <x:f>IF(H175="Expense",J175-SUMIFS($G$2:G175,$B$2:B175,B175,$D$2:D175,D175,$H$2:H175,"Expense"),0)</x:f>
        <x:v>0</x:v>
      </x:c>
      <x:c r="L175" t="str">
        <x:f>'Raw Data'!L175</x:f>
        <x:v>Year-end performance bonus</x:v>
      </x:c>
    </x:row>
    <x:row r="176">
      <x:c r="A176" s="2">
        <x:f>'Raw Data'!A176</x:f>
        <x:v>46377</x:v>
      </x:c>
      <x:c r="B176" t="str">
        <x:f>TRIM('Raw Data'!B176)</x:f>
        <x:v>Dec-26</x:v>
      </x:c>
      <x:c r="C176">
        <x:f>TRIM('Raw Data'!C176)</x:f>
      </x:c>
      <x:c r="D176" t="str">
        <x:f>TRIM('Raw Data'!D176)</x:f>
        <x:v>Groceries</x:v>
      </x:c>
      <x:c r="E176" t="str">
        <x:f>TRIM('Raw Data'!E176)</x:f>
        <x:v>Variable</x:v>
      </x:c>
      <x:c r="F176" t="str">
        <x:f>TRIM('Raw Data'!F176)</x:f>
        <x:v>Cash</x:v>
      </x:c>
      <x:c r="G176" s="3">
        <x:f>ABS('Raw Data'!G176)</x:f>
        <x:v>3067</x:v>
      </x:c>
      <x:c r="H176" t="str">
        <x:f>TRIM('Raw Data'!H176)</x:f>
        <x:v>Expense</x:v>
      </x:c>
      <x:c r="I176" s="3">
        <x:f>IF(H176="Income",G176,-G176)</x:f>
        <x:v>-3067</x:v>
      </x:c>
      <x:c r="J176" s="3">
        <x:f>IF(H176="Expense",SUMIFS('Budget Planning'!$C$2:$C$133,'Budget Planning'!$A$2:$A$133,B176,'Budget Planning'!$B$2:$B$133,D176),0)</x:f>
        <x:v>6905</x:v>
      </x:c>
      <x:c r="K176" s="3">
        <x:f>IF(H176="Expense",J176-SUMIFS($G$2:G176,$B$2:B176,B176,$D$2:D176,D176,$H$2:H176,"Expense"),0)</x:f>
        <x:v>1031</x:v>
      </x:c>
      <x:c r="L176" t="str">
        <x:f>'Raw Data'!L176</x:f>
        <x:v>Monthly essentials restock</x:v>
      </x:c>
    </x:row>
    <x:row r="177">
      <x:c r="A177" s="2">
        <x:f>'Raw Data'!A177</x:f>
        <x:v>46379</x:v>
      </x:c>
      <x:c r="B177" t="str">
        <x:f>TRIM('Raw Data'!B177)</x:f>
        <x:v>Dec-26</x:v>
      </x:c>
      <x:c r="C177">
        <x:f>TRIM('Raw Data'!C177)</x:f>
      </x:c>
      <x:c r="D177" t="str">
        <x:f>TRIM('Raw Data'!D177)</x:f>
        <x:v>Shopping</x:v>
      </x:c>
      <x:c r="E177" t="str">
        <x:f>TRIM('Raw Data'!E177)</x:f>
        <x:v>Variable</x:v>
      </x:c>
      <x:c r="F177" t="str">
        <x:f>TRIM('Raw Data'!F177)</x:f>
        <x:v>Credit Card</x:v>
      </x:c>
      <x:c r="G177" s="3">
        <x:f>ABS('Raw Data'!G177)</x:f>
        <x:v>3116</x:v>
      </x:c>
      <x:c r="H177" t="str">
        <x:f>TRIM('Raw Data'!H177)</x:f>
        <x:v>Expense</x:v>
      </x:c>
      <x:c r="I177" s="3">
        <x:f>IF(H177="Income",G177,-G177)</x:f>
        <x:v>-3116</x:v>
      </x:c>
      <x:c r="J177" s="3">
        <x:f>IF(H177="Expense",SUMIFS('Budget Planning'!$C$2:$C$133,'Budget Planning'!$A$2:$A$133,B177,'Budget Planning'!$B$2:$B$133,D177),0)</x:f>
        <x:v>4938</x:v>
      </x:c>
      <x:c r="K177" s="3">
        <x:f>IF(H177="Expense",J177-SUMIFS($G$2:G177,$B$2:B177,B177,$D$2:D177,D177,$H$2:H177,"Expense"),0)</x:f>
        <x:v>-4272</x:v>
      </x:c>
      <x:c r="L177" t="str">
        <x:f>'Raw Data'!L177</x:f>
        <x:v>Seasonal / festive shopping</x:v>
      </x:c>
    </x:row>
    <x:row r="178">
      <x:c r="A178" s="2">
        <x:f>'Raw Data'!A178</x:f>
        <x:v>46381</x:v>
      </x:c>
      <x:c r="B178" t="str">
        <x:f>TRIM('Raw Data'!B178)</x:f>
        <x:v>Dec-26</x:v>
      </x:c>
      <x:c r="C178">
        <x:f>TRIM('Raw Data'!C178)</x:f>
      </x:c>
      <x:c r="D178" t="str">
        <x:f>TRIM('Raw Data'!D178)</x:f>
        <x:v>Food</x:v>
      </x:c>
      <x:c r="E178" t="str">
        <x:f>TRIM('Raw Data'!E178)</x:f>
        <x:v>Variable</x:v>
      </x:c>
      <x:c r="F178" t="str">
        <x:f>TRIM('Raw Data'!F178)</x:f>
        <x:v>Credit Card</x:v>
      </x:c>
      <x:c r="G178" s="3">
        <x:f>ABS('Raw Data'!G178)</x:f>
        <x:v>2718</x:v>
      </x:c>
      <x:c r="H178" t="str">
        <x:f>TRIM('Raw Data'!H178)</x:f>
        <x:v>Expense</x:v>
      </x:c>
      <x:c r="I178" s="3">
        <x:f>IF(H178="Income",G178,-G178)</x:f>
        <x:v>-2718</x:v>
      </x:c>
      <x:c r="J178" s="3">
        <x:f>IF(H178="Expense",SUMIFS('Budget Planning'!$C$2:$C$133,'Budget Planning'!$A$2:$A$133,B178,'Budget Planning'!$B$2:$B$133,D178),0)</x:f>
        <x:v>6549</x:v>
      </x:c>
      <x:c r="K178" s="3">
        <x:f>IF(H178="Expense",J178-SUMIFS($G$2:G178,$B$2:B178,B178,$D$2:D178,D178,$H$2:H178,"Expense"),0)</x:f>
        <x:v>2095</x:v>
      </x:c>
      <x:c r="L178" t="str">
        <x:f>'Raw Data'!L178</x:f>
        <x:v>Weekend food order</x:v>
      </x:c>
    </x:row>
    <x:row r="179">
      <x:c r="A179" s="2">
        <x:f>'Raw Data'!A179</x:f>
        <x:v>46382</x:v>
      </x:c>
      <x:c r="B179" t="str">
        <x:f>TRIM('Raw Data'!B179)</x:f>
        <x:v>Dec-26</x:v>
      </x:c>
      <x:c r="C179">
        <x:f>TRIM('Raw Data'!C179)</x:f>
      </x:c>
      <x:c r="D179" t="str">
        <x:f>TRIM('Raw Data'!D179)</x:f>
        <x:v>Travel</x:v>
      </x:c>
      <x:c r="E179" t="str">
        <x:f>TRIM('Raw Data'!E179)</x:f>
        <x:v>Variable</x:v>
      </x:c>
      <x:c r="F179" t="str">
        <x:f>TRIM('Raw Data'!F179)</x:f>
        <x:v>Credit Card</x:v>
      </x:c>
      <x:c r="G179" s="3">
        <x:f>ABS('Raw Data'!G179)</x:f>
        <x:v>11337</x:v>
      </x:c>
      <x:c r="H179" t="str">
        <x:f>TRIM('Raw Data'!H179)</x:f>
        <x:v>Expense</x:v>
      </x:c>
      <x:c r="I179" s="3">
        <x:f>IF(H179="Income",G179,-G179)</x:f>
        <x:v>-11337</x:v>
      </x:c>
      <x:c r="J179" s="3">
        <x:f>IF(H179="Expense",SUMIFS('Budget Planning'!$C$2:$C$133,'Budget Planning'!$A$2:$A$133,B179,'Budget Planning'!$B$2:$B$133,D179),0)</x:f>
        <x:v>5097</x:v>
      </x:c>
      <x:c r="K179" s="3">
        <x:f>IF(H179="Expense",J179-SUMIFS($G$2:G179,$B$2:B179,B179,$D$2:D179,D179,$H$2:H179,"Expense"),0)</x:f>
        <x:v>-9261</x:v>
      </x:c>
      <x:c r="L179" t="str">
        <x:f>'Raw Data'!L179</x:f>
        <x:v>Short trip / weekend getaway</x:v>
      </x:c>
    </x:row>
    <x:row r="180">
      <x:c r="A180" s="2">
        <x:f>'Raw Data'!A180</x:f>
        <x:v>46383</x:v>
      </x:c>
      <x:c r="B180" t="str">
        <x:f>TRIM('Raw Data'!B180)</x:f>
        <x:v>Dec-26</x:v>
      </x:c>
      <x:c r="C180" t="str">
        <x:f>TRIM('Raw Data'!C180)</x:f>
        <x:v>Interest</x:v>
      </x:c>
      <x:c r="D180">
        <x:f>TRIM('Raw Data'!D180)</x:f>
      </x:c>
      <x:c r="E180" t="str">
        <x:f>TRIM('Raw Data'!E180)</x:f>
        <x:v>N/A</x:v>
      </x:c>
      <x:c r="F180" t="str">
        <x:f>TRIM('Raw Data'!F180)</x:f>
        <x:v>Bank Transfer</x:v>
      </x:c>
      <x:c r="G180" s="3">
        <x:f>ABS('Raw Data'!G180)</x:f>
        <x:v>3099</x:v>
      </x:c>
      <x:c r="H180" t="str">
        <x:f>TRIM('Raw Data'!H180)</x:f>
        <x:v>Income</x:v>
      </x:c>
      <x:c r="I180" s="3">
        <x:f>IF(H180="Income",G180,-G180)</x:f>
        <x:v>3099</x:v>
      </x:c>
      <x:c r="J180" s="3">
        <x:f>IF(H180="Expense",SUMIFS('Budget Planning'!$C$2:$C$133,'Budget Planning'!$A$2:$A$133,B180,'Budget Planning'!$B$2:$B$133,D180),0)</x:f>
        <x:v>0</x:v>
      </x:c>
      <x:c r="K180" s="3">
        <x:f>IF(H180="Expense",J180-SUMIFS($G$2:G180,$B$2:B180,B180,$D$2:D180,D180,$H$2:H180,"Expense"),0)</x:f>
        <x:v>0</x:v>
      </x:c>
      <x:c r="L180" t="str">
        <x:f>'Raw Data'!L180</x:f>
        <x:v>Interest from savings / FD</x:v>
      </x:c>
    </x:row>
  </x:sheetData>
  <x:conditionalFormatting sqref="K2:K180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2446d1ebf447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8" customWidth="1"/>
    <x:col min="3" max="3" width="15" customWidth="1"/>
    <x:col min="4" max="4" width="13" customWidth="1"/>
    <x:col min="5" max="5" width="30" customWidth="1"/>
    <x:col min="7" max="7" width="10" customWidth="1"/>
    <x:col min="8" max="8" width="15" customWidth="1"/>
  </x:cols>
  <x:sheetData>
    <x:row r="1">
      <x:c r="A1" s="7" t="inlineStr">
        <x:is>
          <x:t xml:space="preserve">Month</x:t>
        </x:is>
      </x:c>
      <x:c r="B1" s="7" t="inlineStr">
        <x:is>
          <x:t xml:space="preserve">Expense Category</x:t>
        </x:is>
      </x:c>
      <x:c r="C1" s="7" t="inlineStr">
        <x:is>
          <x:t xml:space="preserve">Budget Allocated</x:t>
        </x:is>
      </x:c>
      <x:c r="D1" s="7" t="inlineStr">
        <x:is>
          <x:t xml:space="preserve">Expense Type</x:t>
        </x:is>
      </x:c>
      <x:c r="E1" s="7" t="inlineStr">
        <x:is>
          <x:t xml:space="preserve">Notes</x:t>
        </x:is>
      </x:c>
      <x:c r="G1" s="7" t="inlineStr">
        <x:is>
          <x:t xml:space="preserve">Month</x:t>
        </x:is>
      </x:c>
      <x:c r="H1" s="7" t="inlineStr">
        <x:is>
          <x:t xml:space="preserve">Total Budget</x:t>
        </x:is>
      </x:c>
    </x:row>
    <x:row r="2">
      <x:c r="A2" t="inlineStr">
        <x:is>
          <x:t xml:space="preserve">Jan-26</x:t>
        </x:is>
      </x:c>
      <x:c r="B2" t="inlineStr">
        <x:is>
          <x:t xml:space="preserve">Rent</x:t>
        </x:is>
      </x:c>
      <x:c r="C2" s="3" t="n">
        <x:v>28000</x:v>
      </x:c>
      <x:c r="D2" t="inlineStr">
        <x:is>
          <x:t xml:space="preserve">Fixed</x:t>
        </x:is>
      </x:c>
      <x:c r="E2" t="inlineStr">
        <x:is>
          <x:t xml:space="preserve">Planned monthly budget for rent</x:t>
        </x:is>
      </x:c>
      <x:c r="G2" t="inlineStr">
        <x:is>
          <x:t xml:space="preserve">Jan-26</x:t>
        </x:is>
      </x:c>
      <x:c r="H2" s="3">
        <x:f>SUMIFS($C$2:$C$133,$A$2:$A$133,G2)</x:f>
        <x:v>74329</x:v>
      </x:c>
    </x:row>
    <x:row r="3">
      <x:c r="A3" t="inlineStr">
        <x:is>
          <x:t xml:space="preserve">Jan-26</x:t>
        </x:is>
      </x:c>
      <x:c r="B3" t="inlineStr">
        <x:is>
          <x:t xml:space="preserve">EMI</x:t>
        </x:is>
      </x:c>
      <x:c r="C3" s="3" t="n">
        <x:v>9000</x:v>
      </x:c>
      <x:c r="D3" t="inlineStr">
        <x:is>
          <x:t xml:space="preserve">Fixed</x:t>
        </x:is>
      </x:c>
      <x:c r="E3" t="inlineStr">
        <x:is>
          <x:t xml:space="preserve">Planned monthly budget for emi</x:t>
        </x:is>
      </x:c>
      <x:c r="G3" t="inlineStr">
        <x:is>
          <x:t xml:space="preserve">Feb-26</x:t>
        </x:is>
      </x:c>
      <x:c r="H3" s="3">
        <x:f>SUMIFS($C$2:$C$133,$A$2:$A$133,G3)</x:f>
        <x:v>75355</x:v>
      </x:c>
    </x:row>
    <x:row r="4">
      <x:c r="A4" t="inlineStr">
        <x:is>
          <x:t xml:space="preserve">Jan-26</x:t>
        </x:is>
      </x:c>
      <x:c r="B4" t="inlineStr">
        <x:is>
          <x:t xml:space="preserve">Groceries</x:t>
        </x:is>
      </x:c>
      <x:c r="C4" s="3" t="n">
        <x:v>6451</x:v>
      </x:c>
      <x:c r="D4" t="inlineStr">
        <x:is>
          <x:t xml:space="preserve">Variable</x:t>
        </x:is>
      </x:c>
      <x:c r="E4" t="inlineStr">
        <x:is>
          <x:t xml:space="preserve">Planned monthly budget for groceries</x:t>
        </x:is>
      </x:c>
      <x:c r="G4" t="inlineStr">
        <x:is>
          <x:t xml:space="preserve">Mar-26</x:t>
        </x:is>
      </x:c>
      <x:c r="H4" s="3">
        <x:f>SUMIFS($C$2:$C$133,$A$2:$A$133,G4)</x:f>
        <x:v>78030</x:v>
      </x:c>
    </x:row>
    <x:row r="5">
      <x:c r="A5" t="inlineStr">
        <x:is>
          <x:t xml:space="preserve">Jan-26</x:t>
        </x:is>
      </x:c>
      <x:c r="B5" t="inlineStr">
        <x:is>
          <x:t xml:space="preserve">Food</x:t>
        </x:is>
      </x:c>
      <x:c r="C5" s="3" t="n">
        <x:v>5963</x:v>
      </x:c>
      <x:c r="D5" t="inlineStr">
        <x:is>
          <x:t xml:space="preserve">Variable</x:t>
        </x:is>
      </x:c>
      <x:c r="E5" t="inlineStr">
        <x:is>
          <x:t xml:space="preserve">Planned monthly budget for food</x:t>
        </x:is>
      </x:c>
      <x:c r="G5" t="inlineStr">
        <x:is>
          <x:t xml:space="preserve">Apr-26</x:t>
        </x:is>
      </x:c>
      <x:c r="H5" s="3">
        <x:f>SUMIFS($C$2:$C$133,$A$2:$A$133,G5)</x:f>
        <x:v>75264</x:v>
      </x:c>
    </x:row>
    <x:row r="6">
      <x:c r="A6" t="inlineStr">
        <x:is>
          <x:t xml:space="preserve">Jan-26</x:t>
        </x:is>
      </x:c>
      <x:c r="B6" t="inlineStr">
        <x:is>
          <x:t xml:space="preserve">Utilities</x:t>
        </x:is>
      </x:c>
      <x:c r="C6" s="3" t="n">
        <x:v>3901</x:v>
      </x:c>
      <x:c r="D6" t="inlineStr">
        <x:is>
          <x:t xml:space="preserve">Fixed</x:t>
        </x:is>
      </x:c>
      <x:c r="E6" t="inlineStr">
        <x:is>
          <x:t xml:space="preserve">Planned monthly budget for utilities</x:t>
        </x:is>
      </x:c>
      <x:c r="G6" t="inlineStr">
        <x:is>
          <x:t xml:space="preserve">May-26</x:t>
        </x:is>
      </x:c>
      <x:c r="H6" s="3">
        <x:f>SUMIFS($C$2:$C$133,$A$2:$A$133,G6)</x:f>
        <x:v>77576</x:v>
      </x:c>
    </x:row>
    <x:row r="7">
      <x:c r="A7" t="inlineStr">
        <x:is>
          <x:t xml:space="preserve">Jan-26</x:t>
        </x:is>
      </x:c>
      <x:c r="B7" t="inlineStr">
        <x:is>
          <x:t xml:space="preserve">Shopping</x:t>
        </x:is>
      </x:c>
      <x:c r="C7" s="3" t="n">
        <x:v>4857</x:v>
      </x:c>
      <x:c r="D7" t="inlineStr">
        <x:is>
          <x:t xml:space="preserve">Variable</x:t>
        </x:is>
      </x:c>
      <x:c r="E7" t="inlineStr">
        <x:is>
          <x:t xml:space="preserve">Planned monthly budget for shopping</x:t>
        </x:is>
      </x:c>
      <x:c r="G7" t="inlineStr">
        <x:is>
          <x:t xml:space="preserve">Jun-26</x:t>
        </x:is>
      </x:c>
      <x:c r="H7" s="3">
        <x:f>SUMIFS($C$2:$C$133,$A$2:$A$133,G7)</x:f>
        <x:v>77703</x:v>
      </x:c>
    </x:row>
    <x:row r="8">
      <x:c r="A8" t="inlineStr">
        <x:is>
          <x:t xml:space="preserve">Jan-26</x:t>
        </x:is>
      </x:c>
      <x:c r="B8" t="inlineStr">
        <x:is>
          <x:t xml:space="preserve">Travel</x:t>
        </x:is>
      </x:c>
      <x:c r="C8" s="3" t="n">
        <x:v>4185</x:v>
      </x:c>
      <x:c r="D8" t="inlineStr">
        <x:is>
          <x:t xml:space="preserve">Variable</x:t>
        </x:is>
      </x:c>
      <x:c r="E8" t="inlineStr">
        <x:is>
          <x:t xml:space="preserve">Planned monthly budget for travel</x:t>
        </x:is>
      </x:c>
      <x:c r="G8" t="inlineStr">
        <x:is>
          <x:t xml:space="preserve">Jul-26</x:t>
        </x:is>
      </x:c>
      <x:c r="H8" s="3">
        <x:f>SUMIFS($C$2:$C$133,$A$2:$A$133,G8)</x:f>
        <x:v>75159</x:v>
      </x:c>
    </x:row>
    <x:row r="9">
      <x:c r="A9" t="inlineStr">
        <x:is>
          <x:t xml:space="preserve">Jan-26</x:t>
        </x:is>
      </x:c>
      <x:c r="B9" t="inlineStr">
        <x:is>
          <x:t xml:space="preserve">Entertainment</x:t>
        </x:is>
      </x:c>
      <x:c r="C9" s="3" t="n">
        <x:v>2609</x:v>
      </x:c>
      <x:c r="D9" t="inlineStr">
        <x:is>
          <x:t xml:space="preserve">Variable</x:t>
        </x:is>
      </x:c>
      <x:c r="E9" t="inlineStr">
        <x:is>
          <x:t xml:space="preserve">Planned monthly budget for entertainment</x:t>
        </x:is>
      </x:c>
      <x:c r="G9" t="inlineStr">
        <x:is>
          <x:t xml:space="preserve">Aug-26</x:t>
        </x:is>
      </x:c>
      <x:c r="H9" s="3">
        <x:f>SUMIFS($C$2:$C$133,$A$2:$A$133,G9)</x:f>
        <x:v>79184</x:v>
      </x:c>
    </x:row>
    <x:row r="10">
      <x:c r="A10" t="inlineStr">
        <x:is>
          <x:t xml:space="preserve">Jan-26</x:t>
        </x:is>
      </x:c>
      <x:c r="B10" t="inlineStr">
        <x:is>
          <x:t xml:space="preserve">Healthcare</x:t>
        </x:is>
      </x:c>
      <x:c r="C10" s="3" t="n">
        <x:v>3785</x:v>
      </x:c>
      <x:c r="D10" t="inlineStr">
        <x:is>
          <x:t xml:space="preserve">Variable</x:t>
        </x:is>
      </x:c>
      <x:c r="E10" t="inlineStr">
        <x:is>
          <x:t xml:space="preserve">Planned monthly budget for healthcare</x:t>
        </x:is>
      </x:c>
      <x:c r="G10" t="inlineStr">
        <x:is>
          <x:t xml:space="preserve">Sep-26</x:t>
        </x:is>
      </x:c>
      <x:c r="H10" s="3">
        <x:f>SUMIFS($C$2:$C$133,$A$2:$A$133,G10)</x:f>
        <x:v>77805</x:v>
      </x:c>
    </x:row>
    <x:row r="11">
      <x:c r="A11" t="inlineStr">
        <x:is>
          <x:t xml:space="preserve">Jan-26</x:t>
        </x:is>
      </x:c>
      <x:c r="B11" t="inlineStr">
        <x:is>
          <x:t xml:space="preserve">Insurance</x:t>
        </x:is>
      </x:c>
      <x:c r="C11" s="3" t="n">
        <x:v>3500</x:v>
      </x:c>
      <x:c r="D11" t="inlineStr">
        <x:is>
          <x:t xml:space="preserve">Fixed</x:t>
        </x:is>
      </x:c>
      <x:c r="E11" t="inlineStr">
        <x:is>
          <x:t xml:space="preserve">Planned monthly budget for insurance</x:t>
        </x:is>
      </x:c>
      <x:c r="G11" t="inlineStr">
        <x:is>
          <x:t xml:space="preserve">Oct-26</x:t>
        </x:is>
      </x:c>
      <x:c r="H11" s="3">
        <x:f>SUMIFS($C$2:$C$133,$A$2:$A$133,G11)</x:f>
        <x:v>75016</x:v>
      </x:c>
    </x:row>
    <x:row r="12">
      <x:c r="A12" t="inlineStr">
        <x:is>
          <x:t xml:space="preserve">Jan-26</x:t>
        </x:is>
      </x:c>
      <x:c r="B12" t="inlineStr">
        <x:is>
          <x:t xml:space="preserve">Education</x:t>
        </x:is>
      </x:c>
      <x:c r="C12" s="3" t="n">
        <x:v>2078</x:v>
      </x:c>
      <x:c r="D12" t="inlineStr">
        <x:is>
          <x:t xml:space="preserve">Variable</x:t>
        </x:is>
      </x:c>
      <x:c r="E12" t="inlineStr">
        <x:is>
          <x:t xml:space="preserve">Planned monthly budget for education</x:t>
        </x:is>
      </x:c>
      <x:c r="G12" t="inlineStr">
        <x:is>
          <x:t xml:space="preserve">Nov-26</x:t>
        </x:is>
      </x:c>
      <x:c r="H12" s="3">
        <x:f>SUMIFS($C$2:$C$133,$A$2:$A$133,G12)</x:f>
        <x:v>78031</x:v>
      </x:c>
    </x:row>
    <x:row r="13">
      <x:c r="A13" t="inlineStr">
        <x:is>
          <x:t xml:space="preserve">Feb-26</x:t>
        </x:is>
      </x:c>
      <x:c r="B13" t="inlineStr">
        <x:is>
          <x:t xml:space="preserve">Rent</x:t>
        </x:is>
      </x:c>
      <x:c r="C13" s="3" t="n">
        <x:v>28000</x:v>
      </x:c>
      <x:c r="D13" t="inlineStr">
        <x:is>
          <x:t xml:space="preserve">Fixed</x:t>
        </x:is>
      </x:c>
      <x:c r="E13" t="inlineStr">
        <x:is>
          <x:t xml:space="preserve">Planned monthly budget for rent</x:t>
        </x:is>
      </x:c>
      <x:c r="G13" t="inlineStr">
        <x:is>
          <x:t xml:space="preserve">Dec-26</x:t>
        </x:is>
      </x:c>
      <x:c r="H13" s="3">
        <x:f>SUMIFS($C$2:$C$133,$A$2:$A$133,G13)</x:f>
        <x:v>78005</x:v>
      </x:c>
    </x:row>
    <x:row r="14">
      <x:c r="A14" t="inlineStr">
        <x:is>
          <x:t xml:space="preserve">Feb-26</x:t>
        </x:is>
      </x:c>
      <x:c r="B14" t="inlineStr">
        <x:is>
          <x:t xml:space="preserve">EMI</x:t>
        </x:is>
      </x:c>
      <x:c r="C14" s="3" t="n">
        <x:v>9000</x:v>
      </x:c>
      <x:c r="D14" t="inlineStr">
        <x:is>
          <x:t xml:space="preserve">Fixed</x:t>
        </x:is>
      </x:c>
      <x:c r="E14" t="inlineStr">
        <x:is>
          <x:t xml:space="preserve">Planned monthly budget for emi</x:t>
        </x:is>
      </x:c>
    </x:row>
    <x:row r="15">
      <x:c r="A15" t="inlineStr">
        <x:is>
          <x:t xml:space="preserve">Feb-26</x:t>
        </x:is>
      </x:c>
      <x:c r="B15" t="inlineStr">
        <x:is>
          <x:t xml:space="preserve">Groceries</x:t>
        </x:is>
      </x:c>
      <x:c r="C15" s="3" t="n">
        <x:v>6465</x:v>
      </x:c>
      <x:c r="D15" t="inlineStr">
        <x:is>
          <x:t xml:space="preserve">Variable</x:t>
        </x:is>
      </x:c>
      <x:c r="E15" t="inlineStr">
        <x:is>
          <x:t xml:space="preserve">Planned monthly budget for groceries</x:t>
        </x:is>
      </x:c>
    </x:row>
    <x:row r="16">
      <x:c r="A16" t="inlineStr">
        <x:is>
          <x:t xml:space="preserve">Feb-26</x:t>
        </x:is>
      </x:c>
      <x:c r="B16" t="inlineStr">
        <x:is>
          <x:t xml:space="preserve">Food</x:t>
        </x:is>
      </x:c>
      <x:c r="C16" s="3" t="n">
        <x:v>5461</x:v>
      </x:c>
      <x:c r="D16" t="inlineStr">
        <x:is>
          <x:t xml:space="preserve">Variable</x:t>
        </x:is>
      </x:c>
      <x:c r="E16" t="inlineStr">
        <x:is>
          <x:t xml:space="preserve">Planned monthly budget for food</x:t>
        </x:is>
      </x:c>
    </x:row>
    <x:row r="17">
      <x:c r="A17" t="inlineStr">
        <x:is>
          <x:t xml:space="preserve">Feb-26</x:t>
        </x:is>
      </x:c>
      <x:c r="B17" t="inlineStr">
        <x:is>
          <x:t xml:space="preserve">Utilities</x:t>
        </x:is>
      </x:c>
      <x:c r="C17" s="3" t="n">
        <x:v>3591</x:v>
      </x:c>
      <x:c r="D17" t="inlineStr">
        <x:is>
          <x:t xml:space="preserve">Fixed</x:t>
        </x:is>
      </x:c>
      <x:c r="E17" t="inlineStr">
        <x:is>
          <x:t xml:space="preserve">Planned monthly budget for utilities</x:t>
        </x:is>
      </x:c>
    </x:row>
    <x:row r="18">
      <x:c r="A18" t="inlineStr">
        <x:is>
          <x:t xml:space="preserve">Feb-26</x:t>
        </x:is>
      </x:c>
      <x:c r="B18" t="inlineStr">
        <x:is>
          <x:t xml:space="preserve">Shopping</x:t>
        </x:is>
      </x:c>
      <x:c r="C18" s="3" t="n">
        <x:v>4847</x:v>
      </x:c>
      <x:c r="D18" t="inlineStr">
        <x:is>
          <x:t xml:space="preserve">Variable</x:t>
        </x:is>
      </x:c>
      <x:c r="E18" t="inlineStr">
        <x:is>
          <x:t xml:space="preserve">Planned monthly budget for shopping</x:t>
        </x:is>
      </x:c>
    </x:row>
    <x:row r="19">
      <x:c r="A19" t="inlineStr">
        <x:is>
          <x:t xml:space="preserve">Feb-26</x:t>
        </x:is>
      </x:c>
      <x:c r="B19" t="inlineStr">
        <x:is>
          <x:t xml:space="preserve">Travel</x:t>
        </x:is>
      </x:c>
      <x:c r="C19" s="3" t="n">
        <x:v>4376</x:v>
      </x:c>
      <x:c r="D19" t="inlineStr">
        <x:is>
          <x:t xml:space="preserve">Variable</x:t>
        </x:is>
      </x:c>
      <x:c r="E19" t="inlineStr">
        <x:is>
          <x:t xml:space="preserve">Planned monthly budget for travel</x:t>
        </x:is>
      </x:c>
    </x:row>
    <x:row r="20">
      <x:c r="A20" t="inlineStr">
        <x:is>
          <x:t xml:space="preserve">Feb-26</x:t>
        </x:is>
      </x:c>
      <x:c r="B20" t="inlineStr">
        <x:is>
          <x:t xml:space="preserve">Entertainment</x:t>
        </x:is>
      </x:c>
      <x:c r="C20" s="3" t="n">
        <x:v>3434</x:v>
      </x:c>
      <x:c r="D20" t="inlineStr">
        <x:is>
          <x:t xml:space="preserve">Variable</x:t>
        </x:is>
      </x:c>
      <x:c r="E20" t="inlineStr">
        <x:is>
          <x:t xml:space="preserve">Planned monthly budget for entertainment</x:t>
        </x:is>
      </x:c>
    </x:row>
    <x:row r="21">
      <x:c r="A21" t="inlineStr">
        <x:is>
          <x:t xml:space="preserve">Feb-26</x:t>
        </x:is>
      </x:c>
      <x:c r="B21" t="inlineStr">
        <x:is>
          <x:t xml:space="preserve">Healthcare</x:t>
        </x:is>
      </x:c>
      <x:c r="C21" s="3" t="n">
        <x:v>3632</x:v>
      </x:c>
      <x:c r="D21" t="inlineStr">
        <x:is>
          <x:t xml:space="preserve">Variable</x:t>
        </x:is>
      </x:c>
      <x:c r="E21" t="inlineStr">
        <x:is>
          <x:t xml:space="preserve">Planned monthly budget for healthcare</x:t>
        </x:is>
      </x:c>
    </x:row>
    <x:row r="22">
      <x:c r="A22" t="inlineStr">
        <x:is>
          <x:t xml:space="preserve">Feb-26</x:t>
        </x:is>
      </x:c>
      <x:c r="B22" t="inlineStr">
        <x:is>
          <x:t xml:space="preserve">Insurance</x:t>
        </x:is>
      </x:c>
      <x:c r="C22" s="3" t="n">
        <x:v>3500</x:v>
      </x:c>
      <x:c r="D22" t="inlineStr">
        <x:is>
          <x:t xml:space="preserve">Fixed</x:t>
        </x:is>
      </x:c>
      <x:c r="E22" t="inlineStr">
        <x:is>
          <x:t xml:space="preserve">Planned monthly budget for insurance</x:t>
        </x:is>
      </x:c>
    </x:row>
    <x:row r="23">
      <x:c r="A23" t="inlineStr">
        <x:is>
          <x:t xml:space="preserve">Feb-26</x:t>
        </x:is>
      </x:c>
      <x:c r="B23" t="inlineStr">
        <x:is>
          <x:t xml:space="preserve">Education</x:t>
        </x:is>
      </x:c>
      <x:c r="C23" s="3" t="n">
        <x:v>3049</x:v>
      </x:c>
      <x:c r="D23" t="inlineStr">
        <x:is>
          <x:t xml:space="preserve">Variable</x:t>
        </x:is>
      </x:c>
      <x:c r="E23" t="inlineStr">
        <x:is>
          <x:t xml:space="preserve">Planned monthly budget for education</x:t>
        </x:is>
      </x:c>
    </x:row>
    <x:row r="24">
      <x:c r="A24" t="inlineStr">
        <x:is>
          <x:t xml:space="preserve">Mar-26</x:t>
        </x:is>
      </x:c>
      <x:c r="B24" t="inlineStr">
        <x:is>
          <x:t xml:space="preserve">Rent</x:t>
        </x:is>
      </x:c>
      <x:c r="C24" s="3" t="n">
        <x:v>28000</x:v>
      </x:c>
      <x:c r="D24" t="inlineStr">
        <x:is>
          <x:t xml:space="preserve">Fixed</x:t>
        </x:is>
      </x:c>
      <x:c r="E24" t="inlineStr">
        <x:is>
          <x:t xml:space="preserve">Planned monthly budget for rent</x:t>
        </x:is>
      </x:c>
    </x:row>
    <x:row r="25">
      <x:c r="A25" t="inlineStr">
        <x:is>
          <x:t xml:space="preserve">Mar-26</x:t>
        </x:is>
      </x:c>
      <x:c r="B25" t="inlineStr">
        <x:is>
          <x:t xml:space="preserve">EMI</x:t>
        </x:is>
      </x:c>
      <x:c r="C25" s="3" t="n">
        <x:v>9000</x:v>
      </x:c>
      <x:c r="D25" t="inlineStr">
        <x:is>
          <x:t xml:space="preserve">Fixed</x:t>
        </x:is>
      </x:c>
      <x:c r="E25" t="inlineStr">
        <x:is>
          <x:t xml:space="preserve">Planned monthly budget for emi</x:t>
        </x:is>
      </x:c>
    </x:row>
    <x:row r="26">
      <x:c r="A26" t="inlineStr">
        <x:is>
          <x:t xml:space="preserve">Mar-26</x:t>
        </x:is>
      </x:c>
      <x:c r="B26" t="inlineStr">
        <x:is>
          <x:t xml:space="preserve">Groceries</x:t>
        </x:is>
      </x:c>
      <x:c r="C26" s="3" t="n">
        <x:v>7730</x:v>
      </x:c>
      <x:c r="D26" t="inlineStr">
        <x:is>
          <x:t xml:space="preserve">Variable</x:t>
        </x:is>
      </x:c>
      <x:c r="E26" t="inlineStr">
        <x:is>
          <x:t xml:space="preserve">Planned monthly budget for groceries</x:t>
        </x:is>
      </x:c>
    </x:row>
    <x:row r="27">
      <x:c r="A27" t="inlineStr">
        <x:is>
          <x:t xml:space="preserve">Mar-26</x:t>
        </x:is>
      </x:c>
      <x:c r="B27" t="inlineStr">
        <x:is>
          <x:t xml:space="preserve">Food</x:t>
        </x:is>
      </x:c>
      <x:c r="C27" s="3" t="n">
        <x:v>6836</x:v>
      </x:c>
      <x:c r="D27" t="inlineStr">
        <x:is>
          <x:t xml:space="preserve">Variable</x:t>
        </x:is>
      </x:c>
      <x:c r="E27" t="inlineStr">
        <x:is>
          <x:t xml:space="preserve">Planned monthly budget for food</x:t>
        </x:is>
      </x:c>
    </x:row>
    <x:row r="28">
      <x:c r="A28" t="inlineStr">
        <x:is>
          <x:t xml:space="preserve">Mar-26</x:t>
        </x:is>
      </x:c>
      <x:c r="B28" t="inlineStr">
        <x:is>
          <x:t xml:space="preserve">Utilities</x:t>
        </x:is>
      </x:c>
      <x:c r="C28" s="3" t="n">
        <x:v>4516</x:v>
      </x:c>
      <x:c r="D28" t="inlineStr">
        <x:is>
          <x:t xml:space="preserve">Fixed</x:t>
        </x:is>
      </x:c>
      <x:c r="E28" t="inlineStr">
        <x:is>
          <x:t xml:space="preserve">Planned monthly budget for utilities</x:t>
        </x:is>
      </x:c>
    </x:row>
    <x:row r="29">
      <x:c r="A29" t="inlineStr">
        <x:is>
          <x:t xml:space="preserve">Mar-26</x:t>
        </x:is>
      </x:c>
      <x:c r="B29" t="inlineStr">
        <x:is>
          <x:t xml:space="preserve">Shopping</x:t>
        </x:is>
      </x:c>
      <x:c r="C29" s="3" t="n">
        <x:v>5259</x:v>
      </x:c>
      <x:c r="D29" t="inlineStr">
        <x:is>
          <x:t xml:space="preserve">Variable</x:t>
        </x:is>
      </x:c>
      <x:c r="E29" t="inlineStr">
        <x:is>
          <x:t xml:space="preserve">Planned monthly budget for shopping</x:t>
        </x:is>
      </x:c>
    </x:row>
    <x:row r="30">
      <x:c r="A30" t="inlineStr">
        <x:is>
          <x:t xml:space="preserve">Mar-26</x:t>
        </x:is>
      </x:c>
      <x:c r="B30" t="inlineStr">
        <x:is>
          <x:t xml:space="preserve">Travel</x:t>
        </x:is>
      </x:c>
      <x:c r="C30" s="3" t="n">
        <x:v>4351</x:v>
      </x:c>
      <x:c r="D30" t="inlineStr">
        <x:is>
          <x:t xml:space="preserve">Variable</x:t>
        </x:is>
      </x:c>
      <x:c r="E30" t="inlineStr">
        <x:is>
          <x:t xml:space="preserve">Planned monthly budget for travel</x:t>
        </x:is>
      </x:c>
    </x:row>
    <x:row r="31">
      <x:c r="A31" t="inlineStr">
        <x:is>
          <x:t xml:space="preserve">Mar-26</x:t>
        </x:is>
      </x:c>
      <x:c r="B31" t="inlineStr">
        <x:is>
          <x:t xml:space="preserve">Entertainment</x:t>
        </x:is>
      </x:c>
      <x:c r="C31" s="3" t="n">
        <x:v>3319</x:v>
      </x:c>
      <x:c r="D31" t="inlineStr">
        <x:is>
          <x:t xml:space="preserve">Variable</x:t>
        </x:is>
      </x:c>
      <x:c r="E31" t="inlineStr">
        <x:is>
          <x:t xml:space="preserve">Planned monthly budget for entertainment</x:t>
        </x:is>
      </x:c>
    </x:row>
    <x:row r="32">
      <x:c r="A32" t="inlineStr">
        <x:is>
          <x:t xml:space="preserve">Mar-26</x:t>
        </x:is>
      </x:c>
      <x:c r="B32" t="inlineStr">
        <x:is>
          <x:t xml:space="preserve">Healthcare</x:t>
        </x:is>
      </x:c>
      <x:c r="C32" s="3" t="n">
        <x:v>3606</x:v>
      </x:c>
      <x:c r="D32" t="inlineStr">
        <x:is>
          <x:t xml:space="preserve">Variable</x:t>
        </x:is>
      </x:c>
      <x:c r="E32" t="inlineStr">
        <x:is>
          <x:t xml:space="preserve">Planned monthly budget for healthcare</x:t>
        </x:is>
      </x:c>
    </x:row>
    <x:row r="33">
      <x:c r="A33" t="inlineStr">
        <x:is>
          <x:t xml:space="preserve">Mar-26</x:t>
        </x:is>
      </x:c>
      <x:c r="B33" t="inlineStr">
        <x:is>
          <x:t xml:space="preserve">Insurance</x:t>
        </x:is>
      </x:c>
      <x:c r="C33" s="3" t="n">
        <x:v>3500</x:v>
      </x:c>
      <x:c r="D33" t="inlineStr">
        <x:is>
          <x:t xml:space="preserve">Fixed</x:t>
        </x:is>
      </x:c>
      <x:c r="E33" t="inlineStr">
        <x:is>
          <x:t xml:space="preserve">Planned monthly budget for insurance</x:t>
        </x:is>
      </x:c>
    </x:row>
    <x:row r="34">
      <x:c r="A34" t="inlineStr">
        <x:is>
          <x:t xml:space="preserve">Mar-26</x:t>
        </x:is>
      </x:c>
      <x:c r="B34" t="inlineStr">
        <x:is>
          <x:t xml:space="preserve">Education</x:t>
        </x:is>
      </x:c>
      <x:c r="C34" s="3" t="n">
        <x:v>1913</x:v>
      </x:c>
      <x:c r="D34" t="inlineStr">
        <x:is>
          <x:t xml:space="preserve">Variable</x:t>
        </x:is>
      </x:c>
      <x:c r="E34" t="inlineStr">
        <x:is>
          <x:t xml:space="preserve">Planned monthly budget for education</x:t>
        </x:is>
      </x:c>
    </x:row>
    <x:row r="35">
      <x:c r="A35" t="inlineStr">
        <x:is>
          <x:t xml:space="preserve">Apr-26</x:t>
        </x:is>
      </x:c>
      <x:c r="B35" t="inlineStr">
        <x:is>
          <x:t xml:space="preserve">Rent</x:t>
        </x:is>
      </x:c>
      <x:c r="C35" s="3" t="n">
        <x:v>28000</x:v>
      </x:c>
      <x:c r="D35" t="inlineStr">
        <x:is>
          <x:t xml:space="preserve">Fixed</x:t>
        </x:is>
      </x:c>
      <x:c r="E35" t="inlineStr">
        <x:is>
          <x:t xml:space="preserve">Planned monthly budget for rent</x:t>
        </x:is>
      </x:c>
    </x:row>
    <x:row r="36">
      <x:c r="A36" t="inlineStr">
        <x:is>
          <x:t xml:space="preserve">Apr-26</x:t>
        </x:is>
      </x:c>
      <x:c r="B36" t="inlineStr">
        <x:is>
          <x:t xml:space="preserve">EMI</x:t>
        </x:is>
      </x:c>
      <x:c r="C36" s="3" t="n">
        <x:v>9000</x:v>
      </x:c>
      <x:c r="D36" t="inlineStr">
        <x:is>
          <x:t xml:space="preserve">Fixed</x:t>
        </x:is>
      </x:c>
      <x:c r="E36" t="inlineStr">
        <x:is>
          <x:t xml:space="preserve">Planned monthly budget for emi</x:t>
        </x:is>
      </x:c>
    </x:row>
    <x:row r="37">
      <x:c r="A37" t="inlineStr">
        <x:is>
          <x:t xml:space="preserve">Apr-26</x:t>
        </x:is>
      </x:c>
      <x:c r="B37" t="inlineStr">
        <x:is>
          <x:t xml:space="preserve">Groceries</x:t>
        </x:is>
      </x:c>
      <x:c r="C37" s="3" t="n">
        <x:v>7265</x:v>
      </x:c>
      <x:c r="D37" t="inlineStr">
        <x:is>
          <x:t xml:space="preserve">Variable</x:t>
        </x:is>
      </x:c>
      <x:c r="E37" t="inlineStr">
        <x:is>
          <x:t xml:space="preserve">Planned monthly budget for groceries</x:t>
        </x:is>
      </x:c>
    </x:row>
    <x:row r="38">
      <x:c r="A38" t="inlineStr">
        <x:is>
          <x:t xml:space="preserve">Apr-26</x:t>
        </x:is>
      </x:c>
      <x:c r="B38" t="inlineStr">
        <x:is>
          <x:t xml:space="preserve">Food</x:t>
        </x:is>
      </x:c>
      <x:c r="C38" s="3" t="n">
        <x:v>6096</x:v>
      </x:c>
      <x:c r="D38" t="inlineStr">
        <x:is>
          <x:t xml:space="preserve">Variable</x:t>
        </x:is>
      </x:c>
      <x:c r="E38" t="inlineStr">
        <x:is>
          <x:t xml:space="preserve">Planned monthly budget for food</x:t>
        </x:is>
      </x:c>
    </x:row>
    <x:row r="39">
      <x:c r="A39" t="inlineStr">
        <x:is>
          <x:t xml:space="preserve">Apr-26</x:t>
        </x:is>
      </x:c>
      <x:c r="B39" t="inlineStr">
        <x:is>
          <x:t xml:space="preserve">Utilities</x:t>
        </x:is>
      </x:c>
      <x:c r="C39" s="3" t="n">
        <x:v>3969</x:v>
      </x:c>
      <x:c r="D39" t="inlineStr">
        <x:is>
          <x:t xml:space="preserve">Fixed</x:t>
        </x:is>
      </x:c>
      <x:c r="E39" t="inlineStr">
        <x:is>
          <x:t xml:space="preserve">Planned monthly budget for utilities</x:t>
        </x:is>
      </x:c>
    </x:row>
    <x:row r="40">
      <x:c r="A40" t="inlineStr">
        <x:is>
          <x:t xml:space="preserve">Apr-26</x:t>
        </x:is>
      </x:c>
      <x:c r="B40" t="inlineStr">
        <x:is>
          <x:t xml:space="preserve">Shopping</x:t>
        </x:is>
      </x:c>
      <x:c r="C40" s="3" t="n">
        <x:v>4718</x:v>
      </x:c>
      <x:c r="D40" t="inlineStr">
        <x:is>
          <x:t xml:space="preserve">Variable</x:t>
        </x:is>
      </x:c>
      <x:c r="E40" t="inlineStr">
        <x:is>
          <x:t xml:space="preserve">Planned monthly budget for shopping</x:t>
        </x:is>
      </x:c>
    </x:row>
    <x:row r="41">
      <x:c r="A41" t="inlineStr">
        <x:is>
          <x:t xml:space="preserve">Apr-26</x:t>
        </x:is>
      </x:c>
      <x:c r="B41" t="inlineStr">
        <x:is>
          <x:t xml:space="preserve">Travel</x:t>
        </x:is>
      </x:c>
      <x:c r="C41" s="3" t="n">
        <x:v>4340</x:v>
      </x:c>
      <x:c r="D41" t="inlineStr">
        <x:is>
          <x:t xml:space="preserve">Variable</x:t>
        </x:is>
      </x:c>
      <x:c r="E41" t="inlineStr">
        <x:is>
          <x:t xml:space="preserve">Planned monthly budget for travel</x:t>
        </x:is>
      </x:c>
    </x:row>
    <x:row r="42">
      <x:c r="A42" t="inlineStr">
        <x:is>
          <x:t xml:space="preserve">Apr-26</x:t>
        </x:is>
      </x:c>
      <x:c r="B42" t="inlineStr">
        <x:is>
          <x:t xml:space="preserve">Entertainment</x:t>
        </x:is>
      </x:c>
      <x:c r="C42" s="3" t="n">
        <x:v>3089</x:v>
      </x:c>
      <x:c r="D42" t="inlineStr">
        <x:is>
          <x:t xml:space="preserve">Variable</x:t>
        </x:is>
      </x:c>
      <x:c r="E42" t="inlineStr">
        <x:is>
          <x:t xml:space="preserve">Planned monthly budget for entertainment</x:t>
        </x:is>
      </x:c>
    </x:row>
    <x:row r="43">
      <x:c r="A43" t="inlineStr">
        <x:is>
          <x:t xml:space="preserve">Apr-26</x:t>
        </x:is>
      </x:c>
      <x:c r="B43" t="inlineStr">
        <x:is>
          <x:t xml:space="preserve">Healthcare</x:t>
        </x:is>
      </x:c>
      <x:c r="C43" s="3" t="n">
        <x:v>2609</x:v>
      </x:c>
      <x:c r="D43" t="inlineStr">
        <x:is>
          <x:t xml:space="preserve">Variable</x:t>
        </x:is>
      </x:c>
      <x:c r="E43" t="inlineStr">
        <x:is>
          <x:t xml:space="preserve">Planned monthly budget for healthcare</x:t>
        </x:is>
      </x:c>
    </x:row>
    <x:row r="44">
      <x:c r="A44" t="inlineStr">
        <x:is>
          <x:t xml:space="preserve">Apr-26</x:t>
        </x:is>
      </x:c>
      <x:c r="B44" t="inlineStr">
        <x:is>
          <x:t xml:space="preserve">Insurance</x:t>
        </x:is>
      </x:c>
      <x:c r="C44" s="3" t="n">
        <x:v>3500</x:v>
      </x:c>
      <x:c r="D44" t="inlineStr">
        <x:is>
          <x:t xml:space="preserve">Fixed</x:t>
        </x:is>
      </x:c>
      <x:c r="E44" t="inlineStr">
        <x:is>
          <x:t xml:space="preserve">Planned monthly budget for insurance</x:t>
        </x:is>
      </x:c>
    </x:row>
    <x:row r="45">
      <x:c r="A45" t="inlineStr">
        <x:is>
          <x:t xml:space="preserve">Apr-26</x:t>
        </x:is>
      </x:c>
      <x:c r="B45" t="inlineStr">
        <x:is>
          <x:t xml:space="preserve">Education</x:t>
        </x:is>
      </x:c>
      <x:c r="C45" s="3" t="n">
        <x:v>2678</x:v>
      </x:c>
      <x:c r="D45" t="inlineStr">
        <x:is>
          <x:t xml:space="preserve">Variable</x:t>
        </x:is>
      </x:c>
      <x:c r="E45" t="inlineStr">
        <x:is>
          <x:t xml:space="preserve">Planned monthly budget for education</x:t>
        </x:is>
      </x:c>
    </x:row>
    <x:row r="46">
      <x:c r="A46" t="inlineStr">
        <x:is>
          <x:t xml:space="preserve">May-26</x:t>
        </x:is>
      </x:c>
      <x:c r="B46" t="inlineStr">
        <x:is>
          <x:t xml:space="preserve">Rent</x:t>
        </x:is>
      </x:c>
      <x:c r="C46" s="3" t="n">
        <x:v>28000</x:v>
      </x:c>
      <x:c r="D46" t="inlineStr">
        <x:is>
          <x:t xml:space="preserve">Fixed</x:t>
        </x:is>
      </x:c>
      <x:c r="E46" t="inlineStr">
        <x:is>
          <x:t xml:space="preserve">Planned monthly budget for rent</x:t>
        </x:is>
      </x:c>
    </x:row>
    <x:row r="47">
      <x:c r="A47" t="inlineStr">
        <x:is>
          <x:t xml:space="preserve">May-26</x:t>
        </x:is>
      </x:c>
      <x:c r="B47" t="inlineStr">
        <x:is>
          <x:t xml:space="preserve">EMI</x:t>
        </x:is>
      </x:c>
      <x:c r="C47" s="3" t="n">
        <x:v>9000</x:v>
      </x:c>
      <x:c r="D47" t="inlineStr">
        <x:is>
          <x:t xml:space="preserve">Fixed</x:t>
        </x:is>
      </x:c>
      <x:c r="E47" t="inlineStr">
        <x:is>
          <x:t xml:space="preserve">Planned monthly budget for emi</x:t>
        </x:is>
      </x:c>
    </x:row>
    <x:row r="48">
      <x:c r="A48" t="inlineStr">
        <x:is>
          <x:t xml:space="preserve">May-26</x:t>
        </x:is>
      </x:c>
      <x:c r="B48" t="inlineStr">
        <x:is>
          <x:t xml:space="preserve">Groceries</x:t>
        </x:is>
      </x:c>
      <x:c r="C48" s="3" t="n">
        <x:v>7104</x:v>
      </x:c>
      <x:c r="D48" t="inlineStr">
        <x:is>
          <x:t xml:space="preserve">Variable</x:t>
        </x:is>
      </x:c>
      <x:c r="E48" t="inlineStr">
        <x:is>
          <x:t xml:space="preserve">Planned monthly budget for groceries</x:t>
        </x:is>
      </x:c>
    </x:row>
    <x:row r="49">
      <x:c r="A49" t="inlineStr">
        <x:is>
          <x:t xml:space="preserve">May-26</x:t>
        </x:is>
      </x:c>
      <x:c r="B49" t="inlineStr">
        <x:is>
          <x:t xml:space="preserve">Food</x:t>
        </x:is>
      </x:c>
      <x:c r="C49" s="3" t="n">
        <x:v>6636</x:v>
      </x:c>
      <x:c r="D49" t="inlineStr">
        <x:is>
          <x:t xml:space="preserve">Variable</x:t>
        </x:is>
      </x:c>
      <x:c r="E49" t="inlineStr">
        <x:is>
          <x:t xml:space="preserve">Planned monthly budget for food</x:t>
        </x:is>
      </x:c>
    </x:row>
    <x:row r="50">
      <x:c r="A50" t="inlineStr">
        <x:is>
          <x:t xml:space="preserve">May-26</x:t>
        </x:is>
      </x:c>
      <x:c r="B50" t="inlineStr">
        <x:is>
          <x:t xml:space="preserve">Utilities</x:t>
        </x:is>
      </x:c>
      <x:c r="C50" s="3" t="n">
        <x:v>3941</x:v>
      </x:c>
      <x:c r="D50" t="inlineStr">
        <x:is>
          <x:t xml:space="preserve">Fixed</x:t>
        </x:is>
      </x:c>
      <x:c r="E50" t="inlineStr">
        <x:is>
          <x:t xml:space="preserve">Planned monthly budget for utilities</x:t>
        </x:is>
      </x:c>
    </x:row>
    <x:row r="51">
      <x:c r="A51" t="inlineStr">
        <x:is>
          <x:t xml:space="preserve">May-26</x:t>
        </x:is>
      </x:c>
      <x:c r="B51" t="inlineStr">
        <x:is>
          <x:t xml:space="preserve">Shopping</x:t>
        </x:is>
      </x:c>
      <x:c r="C51" s="3" t="n">
        <x:v>4488</x:v>
      </x:c>
      <x:c r="D51" t="inlineStr">
        <x:is>
          <x:t xml:space="preserve">Variable</x:t>
        </x:is>
      </x:c>
      <x:c r="E51" t="inlineStr">
        <x:is>
          <x:t xml:space="preserve">Planned monthly budget for shopping</x:t>
        </x:is>
      </x:c>
    </x:row>
    <x:row r="52">
      <x:c r="A52" t="inlineStr">
        <x:is>
          <x:t xml:space="preserve">May-26</x:t>
        </x:is>
      </x:c>
      <x:c r="B52" t="inlineStr">
        <x:is>
          <x:t xml:space="preserve">Travel</x:t>
        </x:is>
      </x:c>
      <x:c r="C52" s="3" t="n">
        <x:v>5394</x:v>
      </x:c>
      <x:c r="D52" t="inlineStr">
        <x:is>
          <x:t xml:space="preserve">Variable</x:t>
        </x:is>
      </x:c>
      <x:c r="E52" t="inlineStr">
        <x:is>
          <x:t xml:space="preserve">Planned monthly budget for travel</x:t>
        </x:is>
      </x:c>
    </x:row>
    <x:row r="53">
      <x:c r="A53" t="inlineStr">
        <x:is>
          <x:t xml:space="preserve">May-26</x:t>
        </x:is>
      </x:c>
      <x:c r="B53" t="inlineStr">
        <x:is>
          <x:t xml:space="preserve">Entertainment</x:t>
        </x:is>
      </x:c>
      <x:c r="C53" s="3" t="n">
        <x:v>3340</x:v>
      </x:c>
      <x:c r="D53" t="inlineStr">
        <x:is>
          <x:t xml:space="preserve">Variable</x:t>
        </x:is>
      </x:c>
      <x:c r="E53" t="inlineStr">
        <x:is>
          <x:t xml:space="preserve">Planned monthly budget for entertainment</x:t>
        </x:is>
      </x:c>
    </x:row>
    <x:row r="54">
      <x:c r="A54" t="inlineStr">
        <x:is>
          <x:t xml:space="preserve">May-26</x:t>
        </x:is>
      </x:c>
      <x:c r="B54" t="inlineStr">
        <x:is>
          <x:t xml:space="preserve">Healthcare</x:t>
        </x:is>
      </x:c>
      <x:c r="C54" s="3" t="n">
        <x:v>3498</x:v>
      </x:c>
      <x:c r="D54" t="inlineStr">
        <x:is>
          <x:t xml:space="preserve">Variable</x:t>
        </x:is>
      </x:c>
      <x:c r="E54" t="inlineStr">
        <x:is>
          <x:t xml:space="preserve">Planned monthly budget for healthcare</x:t>
        </x:is>
      </x:c>
    </x:row>
    <x:row r="55">
      <x:c r="A55" t="inlineStr">
        <x:is>
          <x:t xml:space="preserve">May-26</x:t>
        </x:is>
      </x:c>
      <x:c r="B55" t="inlineStr">
        <x:is>
          <x:t xml:space="preserve">Insurance</x:t>
        </x:is>
      </x:c>
      <x:c r="C55" s="3" t="n">
        <x:v>3500</x:v>
      </x:c>
      <x:c r="D55" t="inlineStr">
        <x:is>
          <x:t xml:space="preserve">Fixed</x:t>
        </x:is>
      </x:c>
      <x:c r="E55" t="inlineStr">
        <x:is>
          <x:t xml:space="preserve">Planned monthly budget for insurance</x:t>
        </x:is>
      </x:c>
    </x:row>
    <x:row r="56">
      <x:c r="A56" t="inlineStr">
        <x:is>
          <x:t xml:space="preserve">May-26</x:t>
        </x:is>
      </x:c>
      <x:c r="B56" t="inlineStr">
        <x:is>
          <x:t xml:space="preserve">Education</x:t>
        </x:is>
      </x:c>
      <x:c r="C56" s="3" t="n">
        <x:v>2675</x:v>
      </x:c>
      <x:c r="D56" t="inlineStr">
        <x:is>
          <x:t xml:space="preserve">Variable</x:t>
        </x:is>
      </x:c>
      <x:c r="E56" t="inlineStr">
        <x:is>
          <x:t xml:space="preserve">Planned monthly budget for education</x:t>
        </x:is>
      </x:c>
    </x:row>
    <x:row r="57">
      <x:c r="A57" t="inlineStr">
        <x:is>
          <x:t xml:space="preserve">Jun-26</x:t>
        </x:is>
      </x:c>
      <x:c r="B57" t="inlineStr">
        <x:is>
          <x:t xml:space="preserve">Rent</x:t>
        </x:is>
      </x:c>
      <x:c r="C57" s="3" t="n">
        <x:v>28000</x:v>
      </x:c>
      <x:c r="D57" t="inlineStr">
        <x:is>
          <x:t xml:space="preserve">Fixed</x:t>
        </x:is>
      </x:c>
      <x:c r="E57" t="inlineStr">
        <x:is>
          <x:t xml:space="preserve">Planned monthly budget for rent</x:t>
        </x:is>
      </x:c>
    </x:row>
    <x:row r="58">
      <x:c r="A58" t="inlineStr">
        <x:is>
          <x:t xml:space="preserve">Jun-26</x:t>
        </x:is>
      </x:c>
      <x:c r="B58" t="inlineStr">
        <x:is>
          <x:t xml:space="preserve">EMI</x:t>
        </x:is>
      </x:c>
      <x:c r="C58" s="3" t="n">
        <x:v>9000</x:v>
      </x:c>
      <x:c r="D58" t="inlineStr">
        <x:is>
          <x:t xml:space="preserve">Fixed</x:t>
        </x:is>
      </x:c>
      <x:c r="E58" t="inlineStr">
        <x:is>
          <x:t xml:space="preserve">Planned monthly budget for emi</x:t>
        </x:is>
      </x:c>
    </x:row>
    <x:row r="59">
      <x:c r="A59" t="inlineStr">
        <x:is>
          <x:t xml:space="preserve">Jun-26</x:t>
        </x:is>
      </x:c>
      <x:c r="B59" t="inlineStr">
        <x:is>
          <x:t xml:space="preserve">Groceries</x:t>
        </x:is>
      </x:c>
      <x:c r="C59" s="3" t="n">
        <x:v>7000</x:v>
      </x:c>
      <x:c r="D59" t="inlineStr">
        <x:is>
          <x:t xml:space="preserve">Variable</x:t>
        </x:is>
      </x:c>
      <x:c r="E59" t="inlineStr">
        <x:is>
          <x:t xml:space="preserve">Planned monthly budget for groceries</x:t>
        </x:is>
      </x:c>
    </x:row>
    <x:row r="60">
      <x:c r="A60" t="inlineStr">
        <x:is>
          <x:t xml:space="preserve">Jun-26</x:t>
        </x:is>
      </x:c>
      <x:c r="B60" t="inlineStr">
        <x:is>
          <x:t xml:space="preserve">Food</x:t>
        </x:is>
      </x:c>
      <x:c r="C60" s="3" t="n">
        <x:v>6687</x:v>
      </x:c>
      <x:c r="D60" t="inlineStr">
        <x:is>
          <x:t xml:space="preserve">Variable</x:t>
        </x:is>
      </x:c>
      <x:c r="E60" t="inlineStr">
        <x:is>
          <x:t xml:space="preserve">Planned monthly budget for food</x:t>
        </x:is>
      </x:c>
    </x:row>
    <x:row r="61">
      <x:c r="A61" t="inlineStr">
        <x:is>
          <x:t xml:space="preserve">Jun-26</x:t>
        </x:is>
      </x:c>
      <x:c r="B61" t="inlineStr">
        <x:is>
          <x:t xml:space="preserve">Utilities</x:t>
        </x:is>
      </x:c>
      <x:c r="C61" s="3" t="n">
        <x:v>4666</x:v>
      </x:c>
      <x:c r="D61" t="inlineStr">
        <x:is>
          <x:t xml:space="preserve">Fixed</x:t>
        </x:is>
      </x:c>
      <x:c r="E61" t="inlineStr">
        <x:is>
          <x:t xml:space="preserve">Planned monthly budget for utilities</x:t>
        </x:is>
      </x:c>
    </x:row>
    <x:row r="62">
      <x:c r="A62" t="inlineStr">
        <x:is>
          <x:t xml:space="preserve">Jun-26</x:t>
        </x:is>
      </x:c>
      <x:c r="B62" t="inlineStr">
        <x:is>
          <x:t xml:space="preserve">Shopping</x:t>
        </x:is>
      </x:c>
      <x:c r="C62" s="3" t="n">
        <x:v>5140</x:v>
      </x:c>
      <x:c r="D62" t="inlineStr">
        <x:is>
          <x:t xml:space="preserve">Variable</x:t>
        </x:is>
      </x:c>
      <x:c r="E62" t="inlineStr">
        <x:is>
          <x:t xml:space="preserve">Planned monthly budget for shopping</x:t>
        </x:is>
      </x:c>
    </x:row>
    <x:row r="63">
      <x:c r="A63" t="inlineStr">
        <x:is>
          <x:t xml:space="preserve">Jun-26</x:t>
        </x:is>
      </x:c>
      <x:c r="B63" t="inlineStr">
        <x:is>
          <x:t xml:space="preserve">Travel</x:t>
        </x:is>
      </x:c>
      <x:c r="C63" s="3" t="n">
        <x:v>5082</x:v>
      </x:c>
      <x:c r="D63" t="inlineStr">
        <x:is>
          <x:t xml:space="preserve">Variable</x:t>
        </x:is>
      </x:c>
      <x:c r="E63" t="inlineStr">
        <x:is>
          <x:t xml:space="preserve">Planned monthly budget for travel</x:t>
        </x:is>
      </x:c>
    </x:row>
    <x:row r="64">
      <x:c r="A64" t="inlineStr">
        <x:is>
          <x:t xml:space="preserve">Jun-26</x:t>
        </x:is>
      </x:c>
      <x:c r="B64" t="inlineStr">
        <x:is>
          <x:t xml:space="preserve">Entertainment</x:t>
        </x:is>
      </x:c>
      <x:c r="C64" s="3" t="n">
        <x:v>2793</x:v>
      </x:c>
      <x:c r="D64" t="inlineStr">
        <x:is>
          <x:t xml:space="preserve">Variable</x:t>
        </x:is>
      </x:c>
      <x:c r="E64" t="inlineStr">
        <x:is>
          <x:t xml:space="preserve">Planned monthly budget for entertainment</x:t>
        </x:is>
      </x:c>
    </x:row>
    <x:row r="65">
      <x:c r="A65" t="inlineStr">
        <x:is>
          <x:t xml:space="preserve">Jun-26</x:t>
        </x:is>
      </x:c>
      <x:c r="B65" t="inlineStr">
        <x:is>
          <x:t xml:space="preserve">Healthcare</x:t>
        </x:is>
      </x:c>
      <x:c r="C65" s="3" t="n">
        <x:v>3842</x:v>
      </x:c>
      <x:c r="D65" t="inlineStr">
        <x:is>
          <x:t xml:space="preserve">Variable</x:t>
        </x:is>
      </x:c>
      <x:c r="E65" t="inlineStr">
        <x:is>
          <x:t xml:space="preserve">Planned monthly budget for healthcare</x:t>
        </x:is>
      </x:c>
    </x:row>
    <x:row r="66">
      <x:c r="A66" t="inlineStr">
        <x:is>
          <x:t xml:space="preserve">Jun-26</x:t>
        </x:is>
      </x:c>
      <x:c r="B66" t="inlineStr">
        <x:is>
          <x:t xml:space="preserve">Insurance</x:t>
        </x:is>
      </x:c>
      <x:c r="C66" s="3" t="n">
        <x:v>3500</x:v>
      </x:c>
      <x:c r="D66" t="inlineStr">
        <x:is>
          <x:t xml:space="preserve">Fixed</x:t>
        </x:is>
      </x:c>
      <x:c r="E66" t="inlineStr">
        <x:is>
          <x:t xml:space="preserve">Planned monthly budget for insurance</x:t>
        </x:is>
      </x:c>
    </x:row>
    <x:row r="67">
      <x:c r="A67" t="inlineStr">
        <x:is>
          <x:t xml:space="preserve">Jun-26</x:t>
        </x:is>
      </x:c>
      <x:c r="B67" t="inlineStr">
        <x:is>
          <x:t xml:space="preserve">Education</x:t>
        </x:is>
      </x:c>
      <x:c r="C67" s="3" t="n">
        <x:v>1993</x:v>
      </x:c>
      <x:c r="D67" t="inlineStr">
        <x:is>
          <x:t xml:space="preserve">Variable</x:t>
        </x:is>
      </x:c>
      <x:c r="E67" t="inlineStr">
        <x:is>
          <x:t xml:space="preserve">Planned monthly budget for education</x:t>
        </x:is>
      </x:c>
    </x:row>
    <x:row r="68">
      <x:c r="A68" t="inlineStr">
        <x:is>
          <x:t xml:space="preserve">Jul-26</x:t>
        </x:is>
      </x:c>
      <x:c r="B68" t="inlineStr">
        <x:is>
          <x:t xml:space="preserve">Rent</x:t>
        </x:is>
      </x:c>
      <x:c r="C68" s="3" t="n">
        <x:v>28000</x:v>
      </x:c>
      <x:c r="D68" t="inlineStr">
        <x:is>
          <x:t xml:space="preserve">Fixed</x:t>
        </x:is>
      </x:c>
      <x:c r="E68" t="inlineStr">
        <x:is>
          <x:t xml:space="preserve">Planned monthly budget for rent</x:t>
        </x:is>
      </x:c>
    </x:row>
    <x:row r="69">
      <x:c r="A69" t="inlineStr">
        <x:is>
          <x:t xml:space="preserve">Jul-26</x:t>
        </x:is>
      </x:c>
      <x:c r="B69" t="inlineStr">
        <x:is>
          <x:t xml:space="preserve">EMI</x:t>
        </x:is>
      </x:c>
      <x:c r="C69" s="3" t="n">
        <x:v>9000</x:v>
      </x:c>
      <x:c r="D69" t="inlineStr">
        <x:is>
          <x:t xml:space="preserve">Fixed</x:t>
        </x:is>
      </x:c>
      <x:c r="E69" t="inlineStr">
        <x:is>
          <x:t xml:space="preserve">Planned monthly budget for emi</x:t>
        </x:is>
      </x:c>
    </x:row>
    <x:row r="70">
      <x:c r="A70" t="inlineStr">
        <x:is>
          <x:t xml:space="preserve">Jul-26</x:t>
        </x:is>
      </x:c>
      <x:c r="B70" t="inlineStr">
        <x:is>
          <x:t xml:space="preserve">Groceries</x:t>
        </x:is>
      </x:c>
      <x:c r="C70" s="3" t="n">
        <x:v>6992</x:v>
      </x:c>
      <x:c r="D70" t="inlineStr">
        <x:is>
          <x:t xml:space="preserve">Variable</x:t>
        </x:is>
      </x:c>
      <x:c r="E70" t="inlineStr">
        <x:is>
          <x:t xml:space="preserve">Planned monthly budget for groceries</x:t>
        </x:is>
      </x:c>
    </x:row>
    <x:row r="71">
      <x:c r="A71" t="inlineStr">
        <x:is>
          <x:t xml:space="preserve">Jul-26</x:t>
        </x:is>
      </x:c>
      <x:c r="B71" t="inlineStr">
        <x:is>
          <x:t xml:space="preserve">Food</x:t>
        </x:is>
      </x:c>
      <x:c r="C71" s="3" t="n">
        <x:v>5563</x:v>
      </x:c>
      <x:c r="D71" t="inlineStr">
        <x:is>
          <x:t xml:space="preserve">Variable</x:t>
        </x:is>
      </x:c>
      <x:c r="E71" t="inlineStr">
        <x:is>
          <x:t xml:space="preserve">Planned monthly budget for food</x:t>
        </x:is>
      </x:c>
    </x:row>
    <x:row r="72">
      <x:c r="A72" t="inlineStr">
        <x:is>
          <x:t xml:space="preserve">Jul-26</x:t>
        </x:is>
      </x:c>
      <x:c r="B72" t="inlineStr">
        <x:is>
          <x:t xml:space="preserve">Utilities</x:t>
        </x:is>
      </x:c>
      <x:c r="C72" s="3" t="n">
        <x:v>3876</x:v>
      </x:c>
      <x:c r="D72" t="inlineStr">
        <x:is>
          <x:t xml:space="preserve">Fixed</x:t>
        </x:is>
      </x:c>
      <x:c r="E72" t="inlineStr">
        <x:is>
          <x:t xml:space="preserve">Planned monthly budget for utilities</x:t>
        </x:is>
      </x:c>
    </x:row>
    <x:row r="73">
      <x:c r="A73" t="inlineStr">
        <x:is>
          <x:t xml:space="preserve">Jul-26</x:t>
        </x:is>
      </x:c>
      <x:c r="B73" t="inlineStr">
        <x:is>
          <x:t xml:space="preserve">Shopping</x:t>
        </x:is>
      </x:c>
      <x:c r="C73" s="3" t="n">
        <x:v>4606</x:v>
      </x:c>
      <x:c r="D73" t="inlineStr">
        <x:is>
          <x:t xml:space="preserve">Variable</x:t>
        </x:is>
      </x:c>
      <x:c r="E73" t="inlineStr">
        <x:is>
          <x:t xml:space="preserve">Planned monthly budget for shopping</x:t>
        </x:is>
      </x:c>
    </x:row>
    <x:row r="74">
      <x:c r="A74" t="inlineStr">
        <x:is>
          <x:t xml:space="preserve">Jul-26</x:t>
        </x:is>
      </x:c>
      <x:c r="B74" t="inlineStr">
        <x:is>
          <x:t xml:space="preserve">Travel</x:t>
        </x:is>
      </x:c>
      <x:c r="C74" s="3" t="n">
        <x:v>4678</x:v>
      </x:c>
      <x:c r="D74" t="inlineStr">
        <x:is>
          <x:t xml:space="preserve">Variable</x:t>
        </x:is>
      </x:c>
      <x:c r="E74" t="inlineStr">
        <x:is>
          <x:t xml:space="preserve">Planned monthly budget for travel</x:t>
        </x:is>
      </x:c>
    </x:row>
    <x:row r="75">
      <x:c r="A75" t="inlineStr">
        <x:is>
          <x:t xml:space="preserve">Jul-26</x:t>
        </x:is>
      </x:c>
      <x:c r="B75" t="inlineStr">
        <x:is>
          <x:t xml:space="preserve">Entertainment</x:t>
        </x:is>
      </x:c>
      <x:c r="C75" s="3" t="n">
        <x:v>2969</x:v>
      </x:c>
      <x:c r="D75" t="inlineStr">
        <x:is>
          <x:t xml:space="preserve">Variable</x:t>
        </x:is>
      </x:c>
      <x:c r="E75" t="inlineStr">
        <x:is>
          <x:t xml:space="preserve">Planned monthly budget for entertainment</x:t>
        </x:is>
      </x:c>
    </x:row>
    <x:row r="76">
      <x:c r="A76" t="inlineStr">
        <x:is>
          <x:t xml:space="preserve">Jul-26</x:t>
        </x:is>
      </x:c>
      <x:c r="B76" t="inlineStr">
        <x:is>
          <x:t xml:space="preserve">Healthcare</x:t>
        </x:is>
      </x:c>
      <x:c r="C76" s="3" t="n">
        <x:v>3328</x:v>
      </x:c>
      <x:c r="D76" t="inlineStr">
        <x:is>
          <x:t xml:space="preserve">Variable</x:t>
        </x:is>
      </x:c>
      <x:c r="E76" t="inlineStr">
        <x:is>
          <x:t xml:space="preserve">Planned monthly budget for healthcare</x:t>
        </x:is>
      </x:c>
    </x:row>
    <x:row r="77">
      <x:c r="A77" t="inlineStr">
        <x:is>
          <x:t xml:space="preserve">Jul-26</x:t>
        </x:is>
      </x:c>
      <x:c r="B77" t="inlineStr">
        <x:is>
          <x:t xml:space="preserve">Insurance</x:t>
        </x:is>
      </x:c>
      <x:c r="C77" s="3" t="n">
        <x:v>3500</x:v>
      </x:c>
      <x:c r="D77" t="inlineStr">
        <x:is>
          <x:t xml:space="preserve">Fixed</x:t>
        </x:is>
      </x:c>
      <x:c r="E77" t="inlineStr">
        <x:is>
          <x:t xml:space="preserve">Planned monthly budget for insurance</x:t>
        </x:is>
      </x:c>
    </x:row>
    <x:row r="78">
      <x:c r="A78" t="inlineStr">
        <x:is>
          <x:t xml:space="preserve">Jul-26</x:t>
        </x:is>
      </x:c>
      <x:c r="B78" t="inlineStr">
        <x:is>
          <x:t xml:space="preserve">Education</x:t>
        </x:is>
      </x:c>
      <x:c r="C78" s="3" t="n">
        <x:v>2647</x:v>
      </x:c>
      <x:c r="D78" t="inlineStr">
        <x:is>
          <x:t xml:space="preserve">Variable</x:t>
        </x:is>
      </x:c>
      <x:c r="E78" t="inlineStr">
        <x:is>
          <x:t xml:space="preserve">Planned monthly budget for education</x:t>
        </x:is>
      </x:c>
    </x:row>
    <x:row r="79">
      <x:c r="A79" t="inlineStr">
        <x:is>
          <x:t xml:space="preserve">Aug-26</x:t>
        </x:is>
      </x:c>
      <x:c r="B79" t="inlineStr">
        <x:is>
          <x:t xml:space="preserve">Rent</x:t>
        </x:is>
      </x:c>
      <x:c r="C79" s="3" t="n">
        <x:v>28000</x:v>
      </x:c>
      <x:c r="D79" t="inlineStr">
        <x:is>
          <x:t xml:space="preserve">Fixed</x:t>
        </x:is>
      </x:c>
      <x:c r="E79" t="inlineStr">
        <x:is>
          <x:t xml:space="preserve">Planned monthly budget for rent</x:t>
        </x:is>
      </x:c>
    </x:row>
    <x:row r="80">
      <x:c r="A80" t="inlineStr">
        <x:is>
          <x:t xml:space="preserve">Aug-26</x:t>
        </x:is>
      </x:c>
      <x:c r="B80" t="inlineStr">
        <x:is>
          <x:t xml:space="preserve">EMI</x:t>
        </x:is>
      </x:c>
      <x:c r="C80" s="3" t="n">
        <x:v>9000</x:v>
      </x:c>
      <x:c r="D80" t="inlineStr">
        <x:is>
          <x:t xml:space="preserve">Fixed</x:t>
        </x:is>
      </x:c>
      <x:c r="E80" t="inlineStr">
        <x:is>
          <x:t xml:space="preserve">Planned monthly budget for emi</x:t>
        </x:is>
      </x:c>
    </x:row>
    <x:row r="81">
      <x:c r="A81" t="inlineStr">
        <x:is>
          <x:t xml:space="preserve">Aug-26</x:t>
        </x:is>
      </x:c>
      <x:c r="B81" t="inlineStr">
        <x:is>
          <x:t xml:space="preserve">Groceries</x:t>
        </x:is>
      </x:c>
      <x:c r="C81" s="3" t="n">
        <x:v>7127</x:v>
      </x:c>
      <x:c r="D81" t="inlineStr">
        <x:is>
          <x:t xml:space="preserve">Variable</x:t>
        </x:is>
      </x:c>
      <x:c r="E81" t="inlineStr">
        <x:is>
          <x:t xml:space="preserve">Planned monthly budget for groceries</x:t>
        </x:is>
      </x:c>
    </x:row>
    <x:row r="82">
      <x:c r="A82" t="inlineStr">
        <x:is>
          <x:t xml:space="preserve">Aug-26</x:t>
        </x:is>
      </x:c>
      <x:c r="B82" t="inlineStr">
        <x:is>
          <x:t xml:space="preserve">Food</x:t>
        </x:is>
      </x:c>
      <x:c r="C82" s="3" t="n">
        <x:v>5829</x:v>
      </x:c>
      <x:c r="D82" t="inlineStr">
        <x:is>
          <x:t xml:space="preserve">Variable</x:t>
        </x:is>
      </x:c>
      <x:c r="E82" t="inlineStr">
        <x:is>
          <x:t xml:space="preserve">Planned monthly budget for food</x:t>
        </x:is>
      </x:c>
    </x:row>
    <x:row r="83">
      <x:c r="A83" t="inlineStr">
        <x:is>
          <x:t xml:space="preserve">Aug-26</x:t>
        </x:is>
      </x:c>
      <x:c r="B83" t="inlineStr">
        <x:is>
          <x:t xml:space="preserve">Utilities</x:t>
        </x:is>
      </x:c>
      <x:c r="C83" s="3" t="n">
        <x:v>4772</x:v>
      </x:c>
      <x:c r="D83" t="inlineStr">
        <x:is>
          <x:t xml:space="preserve">Fixed</x:t>
        </x:is>
      </x:c>
      <x:c r="E83" t="inlineStr">
        <x:is>
          <x:t xml:space="preserve">Planned monthly budget for utilities</x:t>
        </x:is>
      </x:c>
    </x:row>
    <x:row r="84">
      <x:c r="A84" t="inlineStr">
        <x:is>
          <x:t xml:space="preserve">Aug-26</x:t>
        </x:is>
      </x:c>
      <x:c r="B84" t="inlineStr">
        <x:is>
          <x:t xml:space="preserve">Shopping</x:t>
        </x:is>
      </x:c>
      <x:c r="C84" s="3" t="n">
        <x:v>4946</x:v>
      </x:c>
      <x:c r="D84" t="inlineStr">
        <x:is>
          <x:t xml:space="preserve">Variable</x:t>
        </x:is>
      </x:c>
      <x:c r="E84" t="inlineStr">
        <x:is>
          <x:t xml:space="preserve">Planned monthly budget for shopping</x:t>
        </x:is>
      </x:c>
    </x:row>
    <x:row r="85">
      <x:c r="A85" t="inlineStr">
        <x:is>
          <x:t xml:space="preserve">Aug-26</x:t>
        </x:is>
      </x:c>
      <x:c r="B85" t="inlineStr">
        <x:is>
          <x:t xml:space="preserve">Travel</x:t>
        </x:is>
      </x:c>
      <x:c r="C85" s="3" t="n">
        <x:v>5337</x:v>
      </x:c>
      <x:c r="D85" t="inlineStr">
        <x:is>
          <x:t xml:space="preserve">Variable</x:t>
        </x:is>
      </x:c>
      <x:c r="E85" t="inlineStr">
        <x:is>
          <x:t xml:space="preserve">Planned monthly budget for travel</x:t>
        </x:is>
      </x:c>
    </x:row>
    <x:row r="86">
      <x:c r="A86" t="inlineStr">
        <x:is>
          <x:t xml:space="preserve">Aug-26</x:t>
        </x:is>
      </x:c>
      <x:c r="B86" t="inlineStr">
        <x:is>
          <x:t xml:space="preserve">Entertainment</x:t>
        </x:is>
      </x:c>
      <x:c r="C86" s="3" t="n">
        <x:v>3799</x:v>
      </x:c>
      <x:c r="D86" t="inlineStr">
        <x:is>
          <x:t xml:space="preserve">Variable</x:t>
        </x:is>
      </x:c>
      <x:c r="E86" t="inlineStr">
        <x:is>
          <x:t xml:space="preserve">Planned monthly budget for entertainment</x:t>
        </x:is>
      </x:c>
    </x:row>
    <x:row r="87">
      <x:c r="A87" t="inlineStr">
        <x:is>
          <x:t xml:space="preserve">Aug-26</x:t>
        </x:is>
      </x:c>
      <x:c r="B87" t="inlineStr">
        <x:is>
          <x:t xml:space="preserve">Healthcare</x:t>
        </x:is>
      </x:c>
      <x:c r="C87" s="3" t="n">
        <x:v>3727</x:v>
      </x:c>
      <x:c r="D87" t="inlineStr">
        <x:is>
          <x:t xml:space="preserve">Variable</x:t>
        </x:is>
      </x:c>
      <x:c r="E87" t="inlineStr">
        <x:is>
          <x:t xml:space="preserve">Planned monthly budget for healthcare</x:t>
        </x:is>
      </x:c>
    </x:row>
    <x:row r="88">
      <x:c r="A88" t="inlineStr">
        <x:is>
          <x:t xml:space="preserve">Aug-26</x:t>
        </x:is>
      </x:c>
      <x:c r="B88" t="inlineStr">
        <x:is>
          <x:t xml:space="preserve">Insurance</x:t>
        </x:is>
      </x:c>
      <x:c r="C88" s="3" t="n">
        <x:v>3500</x:v>
      </x:c>
      <x:c r="D88" t="inlineStr">
        <x:is>
          <x:t xml:space="preserve">Fixed</x:t>
        </x:is>
      </x:c>
      <x:c r="E88" t="inlineStr">
        <x:is>
          <x:t xml:space="preserve">Planned monthly budget for insurance</x:t>
        </x:is>
      </x:c>
    </x:row>
    <x:row r="89">
      <x:c r="A89" t="inlineStr">
        <x:is>
          <x:t xml:space="preserve">Aug-26</x:t>
        </x:is>
      </x:c>
      <x:c r="B89" t="inlineStr">
        <x:is>
          <x:t xml:space="preserve">Education</x:t>
        </x:is>
      </x:c>
      <x:c r="C89" s="3" t="n">
        <x:v>3147</x:v>
      </x:c>
      <x:c r="D89" t="inlineStr">
        <x:is>
          <x:t xml:space="preserve">Variable</x:t>
        </x:is>
      </x:c>
      <x:c r="E89" t="inlineStr">
        <x:is>
          <x:t xml:space="preserve">Planned monthly budget for education</x:t>
        </x:is>
      </x:c>
    </x:row>
    <x:row r="90">
      <x:c r="A90" t="inlineStr">
        <x:is>
          <x:t xml:space="preserve">Sep-26</x:t>
        </x:is>
      </x:c>
      <x:c r="B90" t="inlineStr">
        <x:is>
          <x:t xml:space="preserve">Rent</x:t>
        </x:is>
      </x:c>
      <x:c r="C90" s="3" t="n">
        <x:v>28000</x:v>
      </x:c>
      <x:c r="D90" t="inlineStr">
        <x:is>
          <x:t xml:space="preserve">Fixed</x:t>
        </x:is>
      </x:c>
      <x:c r="E90" t="inlineStr">
        <x:is>
          <x:t xml:space="preserve">Planned monthly budget for rent</x:t>
        </x:is>
      </x:c>
    </x:row>
    <x:row r="91">
      <x:c r="A91" t="inlineStr">
        <x:is>
          <x:t xml:space="preserve">Sep-26</x:t>
        </x:is>
      </x:c>
      <x:c r="B91" t="inlineStr">
        <x:is>
          <x:t xml:space="preserve">EMI</x:t>
        </x:is>
      </x:c>
      <x:c r="C91" s="3" t="n">
        <x:v>9000</x:v>
      </x:c>
      <x:c r="D91" t="inlineStr">
        <x:is>
          <x:t xml:space="preserve">Fixed</x:t>
        </x:is>
      </x:c>
      <x:c r="E91" t="inlineStr">
        <x:is>
          <x:t xml:space="preserve">Planned monthly budget for emi</x:t>
        </x:is>
      </x:c>
    </x:row>
    <x:row r="92">
      <x:c r="A92" t="inlineStr">
        <x:is>
          <x:t xml:space="preserve">Sep-26</x:t>
        </x:is>
      </x:c>
      <x:c r="B92" t="inlineStr">
        <x:is>
          <x:t xml:space="preserve">Groceries</x:t>
        </x:is>
      </x:c>
      <x:c r="C92" s="3" t="n">
        <x:v>7493</x:v>
      </x:c>
      <x:c r="D92" t="inlineStr">
        <x:is>
          <x:t xml:space="preserve">Variable</x:t>
        </x:is>
      </x:c>
      <x:c r="E92" t="inlineStr">
        <x:is>
          <x:t xml:space="preserve">Planned monthly budget for groceries</x:t>
        </x:is>
      </x:c>
    </x:row>
    <x:row r="93">
      <x:c r="A93" t="inlineStr">
        <x:is>
          <x:t xml:space="preserve">Sep-26</x:t>
        </x:is>
      </x:c>
      <x:c r="B93" t="inlineStr">
        <x:is>
          <x:t xml:space="preserve">Food</x:t>
        </x:is>
      </x:c>
      <x:c r="C93" s="3" t="n">
        <x:v>6893</x:v>
      </x:c>
      <x:c r="D93" t="inlineStr">
        <x:is>
          <x:t xml:space="preserve">Variable</x:t>
        </x:is>
      </x:c>
      <x:c r="E93" t="inlineStr">
        <x:is>
          <x:t xml:space="preserve">Planned monthly budget for food</x:t>
        </x:is>
      </x:c>
    </x:row>
    <x:row r="94">
      <x:c r="A94" t="inlineStr">
        <x:is>
          <x:t xml:space="preserve">Sep-26</x:t>
        </x:is>
      </x:c>
      <x:c r="B94" t="inlineStr">
        <x:is>
          <x:t xml:space="preserve">Utilities</x:t>
        </x:is>
      </x:c>
      <x:c r="C94" s="3" t="n">
        <x:v>3901</x:v>
      </x:c>
      <x:c r="D94" t="inlineStr">
        <x:is>
          <x:t xml:space="preserve">Fixed</x:t>
        </x:is>
      </x:c>
      <x:c r="E94" t="inlineStr">
        <x:is>
          <x:t xml:space="preserve">Planned monthly budget for utilities</x:t>
        </x:is>
      </x:c>
    </x:row>
    <x:row r="95">
      <x:c r="A95" t="inlineStr">
        <x:is>
          <x:t xml:space="preserve">Sep-26</x:t>
        </x:is>
      </x:c>
      <x:c r="B95" t="inlineStr">
        <x:is>
          <x:t xml:space="preserve">Shopping</x:t>
        </x:is>
      </x:c>
      <x:c r="C95" s="3" t="n">
        <x:v>4734</x:v>
      </x:c>
      <x:c r="D95" t="inlineStr">
        <x:is>
          <x:t xml:space="preserve">Variable</x:t>
        </x:is>
      </x:c>
      <x:c r="E95" t="inlineStr">
        <x:is>
          <x:t xml:space="preserve">Planned monthly budget for shopping</x:t>
        </x:is>
      </x:c>
    </x:row>
    <x:row r="96">
      <x:c r="A96" t="inlineStr">
        <x:is>
          <x:t xml:space="preserve">Sep-26</x:t>
        </x:is>
      </x:c>
      <x:c r="B96" t="inlineStr">
        <x:is>
          <x:t xml:space="preserve">Travel</x:t>
        </x:is>
      </x:c>
      <x:c r="C96" s="3" t="n">
        <x:v>4846</x:v>
      </x:c>
      <x:c r="D96" t="inlineStr">
        <x:is>
          <x:t xml:space="preserve">Variable</x:t>
        </x:is>
      </x:c>
      <x:c r="E96" t="inlineStr">
        <x:is>
          <x:t xml:space="preserve">Planned monthly budget for travel</x:t>
        </x:is>
      </x:c>
    </x:row>
    <x:row r="97">
      <x:c r="A97" t="inlineStr">
        <x:is>
          <x:t xml:space="preserve">Sep-26</x:t>
        </x:is>
      </x:c>
      <x:c r="B97" t="inlineStr">
        <x:is>
          <x:t xml:space="preserve">Entertainment</x:t>
        </x:is>
      </x:c>
      <x:c r="C97" s="3" t="n">
        <x:v>3177</x:v>
      </x:c>
      <x:c r="D97" t="inlineStr">
        <x:is>
          <x:t xml:space="preserve">Variable</x:t>
        </x:is>
      </x:c>
      <x:c r="E97" t="inlineStr">
        <x:is>
          <x:t xml:space="preserve">Planned monthly budget for entertainment</x:t>
        </x:is>
      </x:c>
    </x:row>
    <x:row r="98">
      <x:c r="A98" t="inlineStr">
        <x:is>
          <x:t xml:space="preserve">Sep-26</x:t>
        </x:is>
      </x:c>
      <x:c r="B98" t="inlineStr">
        <x:is>
          <x:t xml:space="preserve">Healthcare</x:t>
        </x:is>
      </x:c>
      <x:c r="C98" s="3" t="n">
        <x:v>2952</x:v>
      </x:c>
      <x:c r="D98" t="inlineStr">
        <x:is>
          <x:t xml:space="preserve">Variable</x:t>
        </x:is>
      </x:c>
      <x:c r="E98" t="inlineStr">
        <x:is>
          <x:t xml:space="preserve">Planned monthly budget for healthcare</x:t>
        </x:is>
      </x:c>
    </x:row>
    <x:row r="99">
      <x:c r="A99" t="inlineStr">
        <x:is>
          <x:t xml:space="preserve">Sep-26</x:t>
        </x:is>
      </x:c>
      <x:c r="B99" t="inlineStr">
        <x:is>
          <x:t xml:space="preserve">Insurance</x:t>
        </x:is>
      </x:c>
      <x:c r="C99" s="3" t="n">
        <x:v>3500</x:v>
      </x:c>
      <x:c r="D99" t="inlineStr">
        <x:is>
          <x:t xml:space="preserve">Fixed</x:t>
        </x:is>
      </x:c>
      <x:c r="E99" t="inlineStr">
        <x:is>
          <x:t xml:space="preserve">Planned monthly budget for insurance</x:t>
        </x:is>
      </x:c>
    </x:row>
    <x:row r="100">
      <x:c r="A100" t="inlineStr">
        <x:is>
          <x:t xml:space="preserve">Sep-26</x:t>
        </x:is>
      </x:c>
      <x:c r="B100" t="inlineStr">
        <x:is>
          <x:t xml:space="preserve">Education</x:t>
        </x:is>
      </x:c>
      <x:c r="C100" s="3" t="n">
        <x:v>3309</x:v>
      </x:c>
      <x:c r="D100" t="inlineStr">
        <x:is>
          <x:t xml:space="preserve">Variable</x:t>
        </x:is>
      </x:c>
      <x:c r="E100" t="inlineStr">
        <x:is>
          <x:t xml:space="preserve">Planned monthly budget for education</x:t>
        </x:is>
      </x:c>
    </x:row>
    <x:row r="101">
      <x:c r="A101" t="inlineStr">
        <x:is>
          <x:t xml:space="preserve">Oct-26</x:t>
        </x:is>
      </x:c>
      <x:c r="B101" t="inlineStr">
        <x:is>
          <x:t xml:space="preserve">Rent</x:t>
        </x:is>
      </x:c>
      <x:c r="C101" s="3" t="n">
        <x:v>28000</x:v>
      </x:c>
      <x:c r="D101" t="inlineStr">
        <x:is>
          <x:t xml:space="preserve">Fixed</x:t>
        </x:is>
      </x:c>
      <x:c r="E101" t="inlineStr">
        <x:is>
          <x:t xml:space="preserve">Planned monthly budget for rent</x:t>
        </x:is>
      </x:c>
    </x:row>
    <x:row r="102">
      <x:c r="A102" t="inlineStr">
        <x:is>
          <x:t xml:space="preserve">Oct-26</x:t>
        </x:is>
      </x:c>
      <x:c r="B102" t="inlineStr">
        <x:is>
          <x:t xml:space="preserve">EMI</x:t>
        </x:is>
      </x:c>
      <x:c r="C102" s="3" t="n">
        <x:v>9000</x:v>
      </x:c>
      <x:c r="D102" t="inlineStr">
        <x:is>
          <x:t xml:space="preserve">Fixed</x:t>
        </x:is>
      </x:c>
      <x:c r="E102" t="inlineStr">
        <x:is>
          <x:t xml:space="preserve">Planned monthly budget for emi</x:t>
        </x:is>
      </x:c>
    </x:row>
    <x:row r="103">
      <x:c r="A103" t="inlineStr">
        <x:is>
          <x:t xml:space="preserve">Oct-26</x:t>
        </x:is>
      </x:c>
      <x:c r="B103" t="inlineStr">
        <x:is>
          <x:t xml:space="preserve">Groceries</x:t>
        </x:is>
      </x:c>
      <x:c r="C103" s="3" t="n">
        <x:v>7802</x:v>
      </x:c>
      <x:c r="D103" t="inlineStr">
        <x:is>
          <x:t xml:space="preserve">Variable</x:t>
        </x:is>
      </x:c>
      <x:c r="E103" t="inlineStr">
        <x:is>
          <x:t xml:space="preserve">Planned monthly budget for groceries</x:t>
        </x:is>
      </x:c>
    </x:row>
    <x:row r="104">
      <x:c r="A104" t="inlineStr">
        <x:is>
          <x:t xml:space="preserve">Oct-26</x:t>
        </x:is>
      </x:c>
      <x:c r="B104" t="inlineStr">
        <x:is>
          <x:t xml:space="preserve">Food</x:t>
        </x:is>
      </x:c>
      <x:c r="C104" s="3" t="n">
        <x:v>6064</x:v>
      </x:c>
      <x:c r="D104" t="inlineStr">
        <x:is>
          <x:t xml:space="preserve">Variable</x:t>
        </x:is>
      </x:c>
      <x:c r="E104" t="inlineStr">
        <x:is>
          <x:t xml:space="preserve">Planned monthly budget for food</x:t>
        </x:is>
      </x:c>
    </x:row>
    <x:row r="105">
      <x:c r="A105" t="inlineStr">
        <x:is>
          <x:t xml:space="preserve">Oct-26</x:t>
        </x:is>
      </x:c>
      <x:c r="B105" t="inlineStr">
        <x:is>
          <x:t xml:space="preserve">Utilities</x:t>
        </x:is>
      </x:c>
      <x:c r="C105" s="3" t="n">
        <x:v>3514</x:v>
      </x:c>
      <x:c r="D105" t="inlineStr">
        <x:is>
          <x:t xml:space="preserve">Fixed</x:t>
        </x:is>
      </x:c>
      <x:c r="E105" t="inlineStr">
        <x:is>
          <x:t xml:space="preserve">Planned monthly budget for utilities</x:t>
        </x:is>
      </x:c>
    </x:row>
    <x:row r="106">
      <x:c r="A106" t="inlineStr">
        <x:is>
          <x:t xml:space="preserve">Oct-26</x:t>
        </x:is>
      </x:c>
      <x:c r="B106" t="inlineStr">
        <x:is>
          <x:t xml:space="preserve">Shopping</x:t>
        </x:is>
      </x:c>
      <x:c r="C106" s="3" t="n">
        <x:v>4869</x:v>
      </x:c>
      <x:c r="D106" t="inlineStr">
        <x:is>
          <x:t xml:space="preserve">Variable</x:t>
        </x:is>
      </x:c>
      <x:c r="E106" t="inlineStr">
        <x:is>
          <x:t xml:space="preserve">Planned monthly budget for shopping</x:t>
        </x:is>
      </x:c>
    </x:row>
    <x:row r="107">
      <x:c r="A107" t="inlineStr">
        <x:is>
          <x:t xml:space="preserve">Oct-26</x:t>
        </x:is>
      </x:c>
      <x:c r="B107" t="inlineStr">
        <x:is>
          <x:t xml:space="preserve">Travel</x:t>
        </x:is>
      </x:c>
      <x:c r="C107" s="3" t="n">
        <x:v>3965</x:v>
      </x:c>
      <x:c r="D107" t="inlineStr">
        <x:is>
          <x:t xml:space="preserve">Variable</x:t>
        </x:is>
      </x:c>
      <x:c r="E107" t="inlineStr">
        <x:is>
          <x:t xml:space="preserve">Planned monthly budget for travel</x:t>
        </x:is>
      </x:c>
    </x:row>
    <x:row r="108">
      <x:c r="A108" t="inlineStr">
        <x:is>
          <x:t xml:space="preserve">Oct-26</x:t>
        </x:is>
      </x:c>
      <x:c r="B108" t="inlineStr">
        <x:is>
          <x:t xml:space="preserve">Entertainment</x:t>
        </x:is>
      </x:c>
      <x:c r="C108" s="3" t="n">
        <x:v>3046</x:v>
      </x:c>
      <x:c r="D108" t="inlineStr">
        <x:is>
          <x:t xml:space="preserve">Variable</x:t>
        </x:is>
      </x:c>
      <x:c r="E108" t="inlineStr">
        <x:is>
          <x:t xml:space="preserve">Planned monthly budget for entertainment</x:t>
        </x:is>
      </x:c>
    </x:row>
    <x:row r="109">
      <x:c r="A109" t="inlineStr">
        <x:is>
          <x:t xml:space="preserve">Oct-26</x:t>
        </x:is>
      </x:c>
      <x:c r="B109" t="inlineStr">
        <x:is>
          <x:t xml:space="preserve">Healthcare</x:t>
        </x:is>
      </x:c>
      <x:c r="C109" s="3" t="n">
        <x:v>3221</x:v>
      </x:c>
      <x:c r="D109" t="inlineStr">
        <x:is>
          <x:t xml:space="preserve">Variable</x:t>
        </x:is>
      </x:c>
      <x:c r="E109" t="inlineStr">
        <x:is>
          <x:t xml:space="preserve">Planned monthly budget for healthcare</x:t>
        </x:is>
      </x:c>
    </x:row>
    <x:row r="110">
      <x:c r="A110" t="inlineStr">
        <x:is>
          <x:t xml:space="preserve">Oct-26</x:t>
        </x:is>
      </x:c>
      <x:c r="B110" t="inlineStr">
        <x:is>
          <x:t xml:space="preserve">Insurance</x:t>
        </x:is>
      </x:c>
      <x:c r="C110" s="3" t="n">
        <x:v>3500</x:v>
      </x:c>
      <x:c r="D110" t="inlineStr">
        <x:is>
          <x:t xml:space="preserve">Fixed</x:t>
        </x:is>
      </x:c>
      <x:c r="E110" t="inlineStr">
        <x:is>
          <x:t xml:space="preserve">Planned monthly budget for insurance</x:t>
        </x:is>
      </x:c>
    </x:row>
    <x:row r="111">
      <x:c r="A111" t="inlineStr">
        <x:is>
          <x:t xml:space="preserve">Oct-26</x:t>
        </x:is>
      </x:c>
      <x:c r="B111" t="inlineStr">
        <x:is>
          <x:t xml:space="preserve">Education</x:t>
        </x:is>
      </x:c>
      <x:c r="C111" s="3" t="n">
        <x:v>2035</x:v>
      </x:c>
      <x:c r="D111" t="inlineStr">
        <x:is>
          <x:t xml:space="preserve">Variable</x:t>
        </x:is>
      </x:c>
      <x:c r="E111" t="inlineStr">
        <x:is>
          <x:t xml:space="preserve">Planned monthly budget for education</x:t>
        </x:is>
      </x:c>
    </x:row>
    <x:row r="112">
      <x:c r="A112" t="inlineStr">
        <x:is>
          <x:t xml:space="preserve">Nov-26</x:t>
        </x:is>
      </x:c>
      <x:c r="B112" t="inlineStr">
        <x:is>
          <x:t xml:space="preserve">Rent</x:t>
        </x:is>
      </x:c>
      <x:c r="C112" s="3" t="n">
        <x:v>28000</x:v>
      </x:c>
      <x:c r="D112" t="inlineStr">
        <x:is>
          <x:t xml:space="preserve">Fixed</x:t>
        </x:is>
      </x:c>
      <x:c r="E112" t="inlineStr">
        <x:is>
          <x:t xml:space="preserve">Planned monthly budget for rent</x:t>
        </x:is>
      </x:c>
    </x:row>
    <x:row r="113">
      <x:c r="A113" t="inlineStr">
        <x:is>
          <x:t xml:space="preserve">Nov-26</x:t>
        </x:is>
      </x:c>
      <x:c r="B113" t="inlineStr">
        <x:is>
          <x:t xml:space="preserve">EMI</x:t>
        </x:is>
      </x:c>
      <x:c r="C113" s="3" t="n">
        <x:v>9000</x:v>
      </x:c>
      <x:c r="D113" t="inlineStr">
        <x:is>
          <x:t xml:space="preserve">Fixed</x:t>
        </x:is>
      </x:c>
      <x:c r="E113" t="inlineStr">
        <x:is>
          <x:t xml:space="preserve">Planned monthly budget for emi</x:t>
        </x:is>
      </x:c>
    </x:row>
    <x:row r="114">
      <x:c r="A114" t="inlineStr">
        <x:is>
          <x:t xml:space="preserve">Nov-26</x:t>
        </x:is>
      </x:c>
      <x:c r="B114" t="inlineStr">
        <x:is>
          <x:t xml:space="preserve">Groceries</x:t>
        </x:is>
      </x:c>
      <x:c r="C114" s="3" t="n">
        <x:v>7870</x:v>
      </x:c>
      <x:c r="D114" t="inlineStr">
        <x:is>
          <x:t xml:space="preserve">Variable</x:t>
        </x:is>
      </x:c>
      <x:c r="E114" t="inlineStr">
        <x:is>
          <x:t xml:space="preserve">Planned monthly budget for groceries</x:t>
        </x:is>
      </x:c>
    </x:row>
    <x:row r="115">
      <x:c r="A115" t="inlineStr">
        <x:is>
          <x:t xml:space="preserve">Nov-26</x:t>
        </x:is>
      </x:c>
      <x:c r="B115" t="inlineStr">
        <x:is>
          <x:t xml:space="preserve">Food</x:t>
        </x:is>
      </x:c>
      <x:c r="C115" s="3" t="n">
        <x:v>6044</x:v>
      </x:c>
      <x:c r="D115" t="inlineStr">
        <x:is>
          <x:t xml:space="preserve">Variable</x:t>
        </x:is>
      </x:c>
      <x:c r="E115" t="inlineStr">
        <x:is>
          <x:t xml:space="preserve">Planned monthly budget for food</x:t>
        </x:is>
      </x:c>
    </x:row>
    <x:row r="116">
      <x:c r="A116" t="inlineStr">
        <x:is>
          <x:t xml:space="preserve">Nov-26</x:t>
        </x:is>
      </x:c>
      <x:c r="B116" t="inlineStr">
        <x:is>
          <x:t xml:space="preserve">Utilities</x:t>
        </x:is>
      </x:c>
      <x:c r="C116" s="3" t="n">
        <x:v>3835</x:v>
      </x:c>
      <x:c r="D116" t="inlineStr">
        <x:is>
          <x:t xml:space="preserve">Fixed</x:t>
        </x:is>
      </x:c>
      <x:c r="E116" t="inlineStr">
        <x:is>
          <x:t xml:space="preserve">Planned monthly budget for utilities</x:t>
        </x:is>
      </x:c>
    </x:row>
    <x:row r="117">
      <x:c r="A117" t="inlineStr">
        <x:is>
          <x:t xml:space="preserve">Nov-26</x:t>
        </x:is>
      </x:c>
      <x:c r="B117" t="inlineStr">
        <x:is>
          <x:t xml:space="preserve">Shopping</x:t>
        </x:is>
      </x:c>
      <x:c r="C117" s="3" t="n">
        <x:v>5742</x:v>
      </x:c>
      <x:c r="D117" t="inlineStr">
        <x:is>
          <x:t xml:space="preserve">Variable</x:t>
        </x:is>
      </x:c>
      <x:c r="E117" t="inlineStr">
        <x:is>
          <x:t xml:space="preserve">Planned monthly budget for shopping</x:t>
        </x:is>
      </x:c>
    </x:row>
    <x:row r="118">
      <x:c r="A118" t="inlineStr">
        <x:is>
          <x:t xml:space="preserve">Nov-26</x:t>
        </x:is>
      </x:c>
      <x:c r="B118" t="inlineStr">
        <x:is>
          <x:t xml:space="preserve">Travel</x:t>
        </x:is>
      </x:c>
      <x:c r="C118" s="3" t="n">
        <x:v>4922</x:v>
      </x:c>
      <x:c r="D118" t="inlineStr">
        <x:is>
          <x:t xml:space="preserve">Variable</x:t>
        </x:is>
      </x:c>
      <x:c r="E118" t="inlineStr">
        <x:is>
          <x:t xml:space="preserve">Planned monthly budget for travel</x:t>
        </x:is>
      </x:c>
    </x:row>
    <x:row r="119">
      <x:c r="A119" t="inlineStr">
        <x:is>
          <x:t xml:space="preserve">Nov-26</x:t>
        </x:is>
      </x:c>
      <x:c r="B119" t="inlineStr">
        <x:is>
          <x:t xml:space="preserve">Entertainment</x:t>
        </x:is>
      </x:c>
      <x:c r="C119" s="3" t="n">
        <x:v>3210</x:v>
      </x:c>
      <x:c r="D119" t="inlineStr">
        <x:is>
          <x:t xml:space="preserve">Variable</x:t>
        </x:is>
      </x:c>
      <x:c r="E119" t="inlineStr">
        <x:is>
          <x:t xml:space="preserve">Planned monthly budget for entertainment</x:t>
        </x:is>
      </x:c>
    </x:row>
    <x:row r="120">
      <x:c r="A120" t="inlineStr">
        <x:is>
          <x:t xml:space="preserve">Nov-26</x:t>
        </x:is>
      </x:c>
      <x:c r="B120" t="inlineStr">
        <x:is>
          <x:t xml:space="preserve">Healthcare</x:t>
        </x:is>
      </x:c>
      <x:c r="C120" s="3" t="n">
        <x:v>3716</x:v>
      </x:c>
      <x:c r="D120" t="inlineStr">
        <x:is>
          <x:t xml:space="preserve">Variable</x:t>
        </x:is>
      </x:c>
      <x:c r="E120" t="inlineStr">
        <x:is>
          <x:t xml:space="preserve">Planned monthly budget for healthcare</x:t>
        </x:is>
      </x:c>
    </x:row>
    <x:row r="121">
      <x:c r="A121" t="inlineStr">
        <x:is>
          <x:t xml:space="preserve">Nov-26</x:t>
        </x:is>
      </x:c>
      <x:c r="B121" t="inlineStr">
        <x:is>
          <x:t xml:space="preserve">Insurance</x:t>
        </x:is>
      </x:c>
      <x:c r="C121" s="3" t="n">
        <x:v>3500</x:v>
      </x:c>
      <x:c r="D121" t="inlineStr">
        <x:is>
          <x:t xml:space="preserve">Fixed</x:t>
        </x:is>
      </x:c>
      <x:c r="E121" t="inlineStr">
        <x:is>
          <x:t xml:space="preserve">Planned monthly budget for insurance</x:t>
        </x:is>
      </x:c>
    </x:row>
    <x:row r="122">
      <x:c r="A122" t="inlineStr">
        <x:is>
          <x:t xml:space="preserve">Nov-26</x:t>
        </x:is>
      </x:c>
      <x:c r="B122" t="inlineStr">
        <x:is>
          <x:t xml:space="preserve">Education</x:t>
        </x:is>
      </x:c>
      <x:c r="C122" s="3" t="n">
        <x:v>2192</x:v>
      </x:c>
      <x:c r="D122" t="inlineStr">
        <x:is>
          <x:t xml:space="preserve">Variable</x:t>
        </x:is>
      </x:c>
      <x:c r="E122" t="inlineStr">
        <x:is>
          <x:t xml:space="preserve">Planned monthly budget for education</x:t>
        </x:is>
      </x:c>
    </x:row>
    <x:row r="123">
      <x:c r="A123" t="inlineStr">
        <x:is>
          <x:t xml:space="preserve">Dec-26</x:t>
        </x:is>
      </x:c>
      <x:c r="B123" t="inlineStr">
        <x:is>
          <x:t xml:space="preserve">Rent</x:t>
        </x:is>
      </x:c>
      <x:c r="C123" s="3" t="n">
        <x:v>28000</x:v>
      </x:c>
      <x:c r="D123" t="inlineStr">
        <x:is>
          <x:t xml:space="preserve">Fixed</x:t>
        </x:is>
      </x:c>
      <x:c r="E123" t="inlineStr">
        <x:is>
          <x:t xml:space="preserve">Planned monthly budget for rent</x:t>
        </x:is>
      </x:c>
    </x:row>
    <x:row r="124">
      <x:c r="A124" t="inlineStr">
        <x:is>
          <x:t xml:space="preserve">Dec-26</x:t>
        </x:is>
      </x:c>
      <x:c r="B124" t="inlineStr">
        <x:is>
          <x:t xml:space="preserve">EMI</x:t>
        </x:is>
      </x:c>
      <x:c r="C124" s="3" t="n">
        <x:v>9000</x:v>
      </x:c>
      <x:c r="D124" t="inlineStr">
        <x:is>
          <x:t xml:space="preserve">Fixed</x:t>
        </x:is>
      </x:c>
      <x:c r="E124" t="inlineStr">
        <x:is>
          <x:t xml:space="preserve">Planned monthly budget for emi</x:t>
        </x:is>
      </x:c>
    </x:row>
    <x:row r="125">
      <x:c r="A125" t="inlineStr">
        <x:is>
          <x:t xml:space="preserve">Dec-26</x:t>
        </x:is>
      </x:c>
      <x:c r="B125" t="inlineStr">
        <x:is>
          <x:t xml:space="preserve">Groceries</x:t>
        </x:is>
      </x:c>
      <x:c r="C125" s="3" t="n">
        <x:v>6905</x:v>
      </x:c>
      <x:c r="D125" t="inlineStr">
        <x:is>
          <x:t xml:space="preserve">Variable</x:t>
        </x:is>
      </x:c>
      <x:c r="E125" t="inlineStr">
        <x:is>
          <x:t xml:space="preserve">Planned monthly budget for groceries</x:t>
        </x:is>
      </x:c>
    </x:row>
    <x:row r="126">
      <x:c r="A126" t="inlineStr">
        <x:is>
          <x:t xml:space="preserve">Dec-26</x:t>
        </x:is>
      </x:c>
      <x:c r="B126" t="inlineStr">
        <x:is>
          <x:t xml:space="preserve">Food</x:t>
        </x:is>
      </x:c>
      <x:c r="C126" s="3" t="n">
        <x:v>6549</x:v>
      </x:c>
      <x:c r="D126" t="inlineStr">
        <x:is>
          <x:t xml:space="preserve">Variable</x:t>
        </x:is>
      </x:c>
      <x:c r="E126" t="inlineStr">
        <x:is>
          <x:t xml:space="preserve">Planned monthly budget for food</x:t>
        </x:is>
      </x:c>
    </x:row>
    <x:row r="127">
      <x:c r="A127" t="inlineStr">
        <x:is>
          <x:t xml:space="preserve">Dec-26</x:t>
        </x:is>
      </x:c>
      <x:c r="B127" t="inlineStr">
        <x:is>
          <x:t xml:space="preserve">Utilities</x:t>
        </x:is>
      </x:c>
      <x:c r="C127" s="3" t="n">
        <x:v>4503</x:v>
      </x:c>
      <x:c r="D127" t="inlineStr">
        <x:is>
          <x:t xml:space="preserve">Fixed</x:t>
        </x:is>
      </x:c>
      <x:c r="E127" t="inlineStr">
        <x:is>
          <x:t xml:space="preserve">Planned monthly budget for utilities</x:t>
        </x:is>
      </x:c>
    </x:row>
    <x:row r="128">
      <x:c r="A128" t="inlineStr">
        <x:is>
          <x:t xml:space="preserve">Dec-26</x:t>
        </x:is>
      </x:c>
      <x:c r="B128" t="inlineStr">
        <x:is>
          <x:t xml:space="preserve">Shopping</x:t>
        </x:is>
      </x:c>
      <x:c r="C128" s="3" t="n">
        <x:v>4938</x:v>
      </x:c>
      <x:c r="D128" t="inlineStr">
        <x:is>
          <x:t xml:space="preserve">Variable</x:t>
        </x:is>
      </x:c>
      <x:c r="E128" t="inlineStr">
        <x:is>
          <x:t xml:space="preserve">Planned monthly budget for shopping</x:t>
        </x:is>
      </x:c>
    </x:row>
    <x:row r="129">
      <x:c r="A129" t="inlineStr">
        <x:is>
          <x:t xml:space="preserve">Dec-26</x:t>
        </x:is>
      </x:c>
      <x:c r="B129" t="inlineStr">
        <x:is>
          <x:t xml:space="preserve">Travel</x:t>
        </x:is>
      </x:c>
      <x:c r="C129" s="3" t="n">
        <x:v>5097</x:v>
      </x:c>
      <x:c r="D129" t="inlineStr">
        <x:is>
          <x:t xml:space="preserve">Variable</x:t>
        </x:is>
      </x:c>
      <x:c r="E129" t="inlineStr">
        <x:is>
          <x:t xml:space="preserve">Planned monthly budget for travel</x:t>
        </x:is>
      </x:c>
    </x:row>
    <x:row r="130">
      <x:c r="A130" t="inlineStr">
        <x:is>
          <x:t xml:space="preserve">Dec-26</x:t>
        </x:is>
      </x:c>
      <x:c r="B130" t="inlineStr">
        <x:is>
          <x:t xml:space="preserve">Entertainment</x:t>
        </x:is>
      </x:c>
      <x:c r="C130" s="3" t="n">
        <x:v>3277</x:v>
      </x:c>
      <x:c r="D130" t="inlineStr">
        <x:is>
          <x:t xml:space="preserve">Variable</x:t>
        </x:is>
      </x:c>
      <x:c r="E130" t="inlineStr">
        <x:is>
          <x:t xml:space="preserve">Planned monthly budget for entertainment</x:t>
        </x:is>
      </x:c>
    </x:row>
    <x:row r="131">
      <x:c r="A131" t="inlineStr">
        <x:is>
          <x:t xml:space="preserve">Dec-26</x:t>
        </x:is>
      </x:c>
      <x:c r="B131" t="inlineStr">
        <x:is>
          <x:t xml:space="preserve">Healthcare</x:t>
        </x:is>
      </x:c>
      <x:c r="C131" s="3" t="n">
        <x:v>3595</x:v>
      </x:c>
      <x:c r="D131" t="inlineStr">
        <x:is>
          <x:t xml:space="preserve">Variable</x:t>
        </x:is>
      </x:c>
      <x:c r="E131" t="inlineStr">
        <x:is>
          <x:t xml:space="preserve">Planned monthly budget for healthcare</x:t>
        </x:is>
      </x:c>
    </x:row>
    <x:row r="132">
      <x:c r="A132" t="inlineStr">
        <x:is>
          <x:t xml:space="preserve">Dec-26</x:t>
        </x:is>
      </x:c>
      <x:c r="B132" t="inlineStr">
        <x:is>
          <x:t xml:space="preserve">Insurance</x:t>
        </x:is>
      </x:c>
      <x:c r="C132" s="3" t="n">
        <x:v>3500</x:v>
      </x:c>
      <x:c r="D132" t="inlineStr">
        <x:is>
          <x:t xml:space="preserve">Fixed</x:t>
        </x:is>
      </x:c>
      <x:c r="E132" t="inlineStr">
        <x:is>
          <x:t xml:space="preserve">Planned monthly budget for insurance</x:t>
        </x:is>
      </x:c>
    </x:row>
    <x:row r="133">
      <x:c r="A133" t="inlineStr">
        <x:is>
          <x:t xml:space="preserve">Dec-26</x:t>
        </x:is>
      </x:c>
      <x:c r="B133" t="inlineStr">
        <x:is>
          <x:t xml:space="preserve">Education</x:t>
        </x:is>
      </x:c>
      <x:c r="C133" s="3" t="n">
        <x:v>2641</x:v>
      </x:c>
      <x:c r="D133" t="inlineStr">
        <x:is>
          <x:t xml:space="preserve">Variable</x:t>
        </x:is>
      </x:c>
      <x:c r="E133" t="inlineStr">
        <x:is>
          <x:t xml:space="preserve">Planned monthly budget for education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78e9530c08740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6" customWidth="1"/>
    <x:col min="3" max="3" width="4" customWidth="1"/>
    <x:col min="4" max="4" width="4" customWidth="1"/>
    <x:col min="5" max="5" width="4" customWidth="1"/>
    <x:col min="6" max="6" width="4" customWidth="1"/>
    <x:col min="7" max="7" width="4" customWidth="1"/>
    <x:col min="8" max="8" width="10" customWidth="1"/>
    <x:col min="9" max="9" width="14" customWidth="1"/>
    <x:col min="10" max="10" width="14" customWidth="1"/>
    <x:col min="11" max="11" width="14" customWidth="1"/>
    <x:col min="12" max="12" width="14" customWidth="1"/>
    <x:col min="14" max="14" width="18" customWidth="1"/>
    <x:col min="15" max="15" width="14" customWidth="1"/>
    <x:col min="16" max="16" width="12" customWidth="1"/>
    <x:col min="18" max="18" width="18" customWidth="1"/>
    <x:col min="19" max="19" width="14" customWidth="1"/>
  </x:cols>
  <x:sheetData>
    <x:row r="1">
      <x:c r="A1" s="8" t="inlineStr">
        <x:is>
          <x:t xml:space="preserve">Personal Finance KPI Summary</x:t>
        </x:is>
      </x:c>
    </x:row>
    <x:row r="2">
      <x:c r="H2" s="9" t="inlineStr">
        <x:is>
          <x:t xml:space="preserve">Month</x:t>
        </x:is>
      </x:c>
      <x:c r="I2" s="9" t="inlineStr">
        <x:is>
          <x:t xml:space="preserve">Income</x:t>
        </x:is>
      </x:c>
      <x:c r="J2" s="9" t="inlineStr">
        <x:is>
          <x:t xml:space="preserve">Expense</x:t>
        </x:is>
      </x:c>
      <x:c r="K2" s="9" t="inlineStr">
        <x:is>
          <x:t xml:space="preserve">Savings</x:t>
        </x:is>
      </x:c>
      <x:c r="L2" s="9" t="inlineStr">
        <x:is>
          <x:t xml:space="preserve">Monthly Growth %</x:t>
        </x:is>
      </x:c>
      <x:c r="N2" s="10" t="inlineStr">
        <x:is>
          <x:t xml:space="preserve">Expense Category</x:t>
        </x:is>
      </x:c>
      <x:c r="O2" s="10" t="inlineStr">
        <x:is>
          <x:t xml:space="preserve">Amount</x:t>
        </x:is>
      </x:c>
      <x:c r="P2" s="10" t="inlineStr">
        <x:is>
          <x:t xml:space="preserve">Share %</x:t>
        </x:is>
      </x:c>
      <x:c r="R2" s="11" t="inlineStr">
        <x:is>
          <x:t xml:space="preserve">Payment Mode</x:t>
        </x:is>
      </x:c>
      <x:c r="S2" s="11" t="inlineStr">
        <x:is>
          <x:t xml:space="preserve">Amount</x:t>
        </x:is>
      </x:c>
    </x:row>
    <x:row r="3">
      <x:c r="A3" s="12" t="inlineStr">
        <x:is>
          <x:t xml:space="preserve">Select Month</x:t>
        </x:is>
      </x:c>
      <x:c r="B3" s="13" t="inlineStr">
        <x:is>
          <x:t xml:space="preserve">All</x:t>
        </x:is>
      </x:c>
      <x:c r="H3" t="inlineStr">
        <x:is>
          <x:t xml:space="preserve">Jan-26</x:t>
        </x:is>
      </x:c>
      <x:c r="I3" s="3">
        <x:f>SUMIFS('Cleaned Data'!$G$2:$G$180,'Cleaned Data'!$H$2:$H$180,"Income",'Cleaned Data'!$B$2:$B$180,H3)</x:f>
        <x:v>88796</x:v>
      </x:c>
      <x:c r="J3" s="3">
        <x:f>SUMIFS('Cleaned Data'!$G$2:$G$180,'Cleaned Data'!$H$2:$H$180,"Expense",'Cleaned Data'!$B$2:$B$180,H3)</x:f>
        <x:v>67483</x:v>
      </x:c>
      <x:c r="K3" s="3">
        <x:f>I3-J3</x:f>
        <x:v>21313</x:v>
      </x:c>
      <x:c r="L3" s="14" t="n">
        <x:v>0</x:v>
      </x:c>
      <x:c r="N3" t="inlineStr">
        <x:is>
          <x:t xml:space="preserve">Rent</x:t>
        </x:is>
      </x:c>
      <x:c r="O3" s="3">
        <x:f>IF($B$3="All",SUMIFS('Cleaned Data'!$G$2:$G$180,'Cleaned Data'!$H$2:$H$180,"Expense",'Cleaned Data'!$D$2:$D$180,N3),SUMIFS('Cleaned Data'!$G$2:$G$180,'Cleaned Data'!$H$2:$H$180,"Expense",'Cleaned Data'!$D$2:$D$180,N3,'Cleaned Data'!$B$2:$B$180,$B$3))</x:f>
        <x:v>336000</x:v>
      </x:c>
      <x:c r="P3" s="14">
        <x:f>IFERROR(O3/$B$8,0)</x:f>
        <x:v>0.4079704804216666</x:v>
      </x:c>
      <x:c r="R3" t="inlineStr">
        <x:is>
          <x:t xml:space="preserve">Cash</x:t>
        </x:is>
      </x:c>
      <x:c r="S3" s="3">
        <x:f>IF($B$3="All",SUMIFS('Cleaned Data'!$G$2:$G$180,'Cleaned Data'!$H$2:$H$180,"Expense",'Cleaned Data'!$F$2:$F$180,R3),SUMIFS('Cleaned Data'!$G$2:$G$180,'Cleaned Data'!$H$2:$H$180,"Expense",'Cleaned Data'!$F$2:$F$180,R3,'Cleaned Data'!$B$2:$B$180,$B$3))</x:f>
        <x:v>72909</x:v>
      </x:c>
    </x:row>
    <x:row r="4">
      <x:c r="H4" t="inlineStr">
        <x:is>
          <x:t xml:space="preserve">Feb-26</x:t>
        </x:is>
      </x:c>
      <x:c r="I4" s="3">
        <x:f>SUMIFS('Cleaned Data'!$G$2:$G$180,'Cleaned Data'!$H$2:$H$180,"Income",'Cleaned Data'!$B$2:$B$180,H4)</x:f>
        <x:v>106780</x:v>
      </x:c>
      <x:c r="J4" s="3">
        <x:f>SUMIFS('Cleaned Data'!$G$2:$G$180,'Cleaned Data'!$H$2:$H$180,"Expense",'Cleaned Data'!$B$2:$B$180,H4)</x:f>
        <x:v>67551</x:v>
      </x:c>
      <x:c r="K4" s="3">
        <x:f>I4-J4</x:f>
        <x:v>39229</x:v>
      </x:c>
      <x:c r="L4" s="14">
        <x:f>IFERROR((K4-K3)/K3,0)</x:f>
        <x:v>0.8406137099422888</x:v>
      </x:c>
      <x:c r="N4" t="inlineStr">
        <x:is>
          <x:t xml:space="preserve">EMI</x:t>
        </x:is>
      </x:c>
      <x:c r="O4" s="3">
        <x:f>IF($B$3="All",SUMIFS('Cleaned Data'!$G$2:$G$180,'Cleaned Data'!$H$2:$H$180,"Expense",'Cleaned Data'!$D$2:$D$180,N4),SUMIFS('Cleaned Data'!$G$2:$G$180,'Cleaned Data'!$H$2:$H$180,"Expense",'Cleaned Data'!$D$2:$D$180,N4,'Cleaned Data'!$B$2:$B$180,$B$3))</x:f>
        <x:v>108000</x:v>
      </x:c>
      <x:c r="P4" s="14">
        <x:f>IFERROR(O4/$B$8,0)</x:f>
        <x:v>0.13113336870696427</x:v>
      </x:c>
      <x:c r="R4" t="inlineStr">
        <x:is>
          <x:t xml:space="preserve">UPI</x:t>
        </x:is>
      </x:c>
      <x:c r="S4" s="3">
        <x:f>IF($B$3="All",SUMIFS('Cleaned Data'!$G$2:$G$180,'Cleaned Data'!$H$2:$H$180,"Expense",'Cleaned Data'!$F$2:$F$180,R4),SUMIFS('Cleaned Data'!$G$2:$G$180,'Cleaned Data'!$H$2:$H$180,"Expense",'Cleaned Data'!$F$2:$F$180,R4,'Cleaned Data'!$B$2:$B$180,$B$3))</x:f>
        <x:v>133991</x:v>
      </x:c>
    </x:row>
    <x:row r="5">
      <x:c r="H5" t="inlineStr">
        <x:is>
          <x:t xml:space="preserve">Mar-26</x:t>
        </x:is>
      </x:c>
      <x:c r="I5" s="3">
        <x:f>SUMIFS('Cleaned Data'!$G$2:$G$180,'Cleaned Data'!$H$2:$H$180,"Income",'Cleaned Data'!$B$2:$B$180,H5)</x:f>
        <x:v>119418</x:v>
      </x:c>
      <x:c r="J5" s="3">
        <x:f>SUMIFS('Cleaned Data'!$G$2:$G$180,'Cleaned Data'!$H$2:$H$180,"Expense",'Cleaned Data'!$B$2:$B$180,H5)</x:f>
        <x:v>62041</x:v>
      </x:c>
      <x:c r="K5" s="3">
        <x:f>I5-J5</x:f>
        <x:v>57377</x:v>
      </x:c>
      <x:c r="L5" s="14">
        <x:f>IFERROR((K5-K4)/K4,0)</x:f>
        <x:v>0.4626169415483443</x:v>
      </x:c>
      <x:c r="N5" t="inlineStr">
        <x:is>
          <x:t xml:space="preserve">Groceries</x:t>
        </x:is>
      </x:c>
      <x:c r="O5" s="3">
        <x:f>IF($B$3="All",SUMIFS('Cleaned Data'!$G$2:$G$180,'Cleaned Data'!$H$2:$H$180,"Expense",'Cleaned Data'!$D$2:$D$180,N5),SUMIFS('Cleaned Data'!$G$2:$G$180,'Cleaned Data'!$H$2:$H$180,"Expense",'Cleaned Data'!$D$2:$D$180,N5,'Cleaned Data'!$B$2:$B$180,$B$3))</x:f>
        <x:v>83119</x:v>
      </x:c>
      <x:c r="P5" s="14">
        <x:f>IFERROR(O5/$B$8,0)</x:f>
        <x:v>0.10092291179216818</x:v>
      </x:c>
      <x:c r="R5" t="inlineStr">
        <x:is>
          <x:t xml:space="preserve">Credit Card</x:t>
        </x:is>
      </x:c>
      <x:c r="S5" s="3">
        <x:f>IF($B$3="All",SUMIFS('Cleaned Data'!$G$2:$G$180,'Cleaned Data'!$H$2:$H$180,"Expense",'Cleaned Data'!$F$2:$F$180,R5),SUMIFS('Cleaned Data'!$G$2:$G$180,'Cleaned Data'!$H$2:$H$180,"Expense",'Cleaned Data'!$F$2:$F$180,R5,'Cleaned Data'!$B$2:$B$180,$B$3))</x:f>
        <x:v>137001</x:v>
      </x:c>
    </x:row>
    <x:row r="6">
      <x:c r="H6" t="inlineStr">
        <x:is>
          <x:t xml:space="preserve">Apr-26</x:t>
        </x:is>
      </x:c>
      <x:c r="I6" s="3">
        <x:f>SUMIFS('Cleaned Data'!$G$2:$G$180,'Cleaned Data'!$H$2:$H$180,"Income",'Cleaned Data'!$B$2:$B$180,H6)</x:f>
        <x:v>112191</x:v>
      </x:c>
      <x:c r="J6" s="3">
        <x:f>SUMIFS('Cleaned Data'!$G$2:$G$180,'Cleaned Data'!$H$2:$H$180,"Expense",'Cleaned Data'!$B$2:$B$180,H6)</x:f>
        <x:v>77211</x:v>
      </x:c>
      <x:c r="K6" s="3">
        <x:f>I6-J6</x:f>
        <x:v>34980</x:v>
      </x:c>
      <x:c r="L6" s="14">
        <x:f>IFERROR((K6-K5)/K5,0)</x:f>
        <x:v>-0.39034804886975616</x:v>
      </x:c>
      <x:c r="N6" t="inlineStr">
        <x:is>
          <x:t xml:space="preserve">Food</x:t>
        </x:is>
      </x:c>
      <x:c r="O6" s="3">
        <x:f>IF($B$3="All",SUMIFS('Cleaned Data'!$G$2:$G$180,'Cleaned Data'!$H$2:$H$180,"Expense",'Cleaned Data'!$D$2:$D$180,N6),SUMIFS('Cleaned Data'!$G$2:$G$180,'Cleaned Data'!$H$2:$H$180,"Expense",'Cleaned Data'!$D$2:$D$180,N6,'Cleaned Data'!$B$2:$B$180,$B$3))</x:f>
        <x:v>46569</x:v>
      </x:c>
      <x:c r="P6" s="14">
        <x:f>IFERROR(O6/$B$8,0)</x:f>
        <x:v>0.056543980067727956</x:v>
      </x:c>
      <x:c r="R6" t="inlineStr">
        <x:is>
          <x:t xml:space="preserve">Bank Transfer</x:t>
        </x:is>
      </x:c>
      <x:c r="S6" s="3">
        <x:f>IF($B$3="All",SUMIFS('Cleaned Data'!$G$2:$G$180,'Cleaned Data'!$H$2:$H$180,"Expense",'Cleaned Data'!$F$2:$F$180,R6),SUMIFS('Cleaned Data'!$G$2:$G$180,'Cleaned Data'!$H$2:$H$180,"Expense",'Cleaned Data'!$F$2:$F$180,R6,'Cleaned Data'!$B$2:$B$180,$B$3))</x:f>
        <x:v>479688</x:v>
      </x:c>
    </x:row>
    <x:row r="7">
      <x:c r="A7" s="15" t="inlineStr">
        <x:is>
          <x:t xml:space="preserve">Total Income</x:t>
        </x:is>
      </x:c>
      <x:c r="B7" s="3">
        <x:f>IF($B$3="All",SUMIFS('Cleaned Data'!$G$2:$G$180,'Cleaned Data'!$H$2:$H$180,"Income"),SUMIFS('Cleaned Data'!$G$2:$G$180,'Cleaned Data'!$H$2:$H$180,"Income",'Cleaned Data'!$B$2:$B$180,$B$3))</x:f>
        <x:v>1317014</x:v>
      </x:c>
      <x:c r="H7" t="inlineStr">
        <x:is>
          <x:t xml:space="preserve">May-26</x:t>
        </x:is>
      </x:c>
      <x:c r="I7" s="3">
        <x:f>SUMIFS('Cleaned Data'!$G$2:$G$180,'Cleaned Data'!$H$2:$H$180,"Income",'Cleaned Data'!$B$2:$B$180,H7)</x:f>
        <x:v>88804</x:v>
      </x:c>
      <x:c r="J7" s="3">
        <x:f>SUMIFS('Cleaned Data'!$G$2:$G$180,'Cleaned Data'!$H$2:$H$180,"Expense",'Cleaned Data'!$B$2:$B$180,H7)</x:f>
        <x:v>69106</x:v>
      </x:c>
      <x:c r="K7" s="3">
        <x:f>I7-J7</x:f>
        <x:v>19698</x:v>
      </x:c>
      <x:c r="L7" s="14">
        <x:f>IFERROR((K7-K6)/K6,0)</x:f>
        <x:v>-0.43687821612349914</x:v>
      </x:c>
      <x:c r="N7" t="inlineStr">
        <x:is>
          <x:t xml:space="preserve">Utilities</x:t>
        </x:is>
      </x:c>
      <x:c r="O7" s="3">
        <x:f>IF($B$3="All",SUMIFS('Cleaned Data'!$G$2:$G$180,'Cleaned Data'!$H$2:$H$180,"Expense",'Cleaned Data'!$D$2:$D$180,N7),SUMIFS('Cleaned Data'!$G$2:$G$180,'Cleaned Data'!$H$2:$H$180,"Expense",'Cleaned Data'!$D$2:$D$180,N7,'Cleaned Data'!$B$2:$B$180,$B$3))</x:f>
        <x:v>44574</x:v>
      </x:c>
      <x:c r="P7" s="14">
        <x:f>IFERROR(O7/$B$8,0)</x:f>
        <x:v>0.05412165534022431</x:v>
      </x:c>
    </x:row>
    <x:row r="8">
      <x:c r="A8" s="15" t="inlineStr">
        <x:is>
          <x:t xml:space="preserve">Total Expenses</x:t>
        </x:is>
      </x:c>
      <x:c r="B8" s="3">
        <x:f>IF($B$3="All",SUMIFS('Cleaned Data'!$G$2:$G$180,'Cleaned Data'!$H$2:$H$180,"Expense"),SUMIFS('Cleaned Data'!$G$2:$G$180,'Cleaned Data'!$H$2:$H$180,"Expense",'Cleaned Data'!$B$2:$B$180,$B$3))</x:f>
        <x:v>823589</x:v>
      </x:c>
      <x:c r="H8" t="inlineStr">
        <x:is>
          <x:t xml:space="preserve">Jun-26</x:t>
        </x:is>
      </x:c>
      <x:c r="I8" s="3">
        <x:f>SUMIFS('Cleaned Data'!$G$2:$G$180,'Cleaned Data'!$H$2:$H$180,"Income",'Cleaned Data'!$B$2:$B$180,H8)</x:f>
        <x:v>104027</x:v>
      </x:c>
      <x:c r="J8" s="3">
        <x:f>SUMIFS('Cleaned Data'!$G$2:$G$180,'Cleaned Data'!$H$2:$H$180,"Expense",'Cleaned Data'!$B$2:$B$180,H8)</x:f>
        <x:v>64798</x:v>
      </x:c>
      <x:c r="K8" s="3">
        <x:f>I8-J8</x:f>
        <x:v>39229</x:v>
      </x:c>
      <x:c r="L8" s="14">
        <x:f>IFERROR((K8-K7)/K7,0)</x:f>
        <x:v>0.9915219819270992</x:v>
      </x:c>
      <x:c r="N8" t="inlineStr">
        <x:is>
          <x:t xml:space="preserve">Shopping</x:t>
        </x:is>
      </x:c>
      <x:c r="O8" s="3">
        <x:f>IF($B$3="All",SUMIFS('Cleaned Data'!$G$2:$G$180,'Cleaned Data'!$H$2:$H$180,"Expense",'Cleaned Data'!$D$2:$D$180,N8),SUMIFS('Cleaned Data'!$G$2:$G$180,'Cleaned Data'!$H$2:$H$180,"Expense",'Cleaned Data'!$D$2:$D$180,N8,'Cleaned Data'!$B$2:$B$180,$B$3))</x:f>
        <x:v>70146</x:v>
      </x:c>
      <x:c r="P8" s="14">
        <x:f>IFERROR(O8/$B$8,0)</x:f>
        <x:v>0.08517112297517329</x:v>
      </x:c>
      <x:c r="R8" s="11" t="inlineStr">
        <x:is>
          <x:t xml:space="preserve">Expense Type</x:t>
        </x:is>
      </x:c>
      <x:c r="S8" s="11" t="inlineStr">
        <x:is>
          <x:t xml:space="preserve">Amount</x:t>
        </x:is>
      </x:c>
    </x:row>
    <x:row r="9">
      <x:c r="A9" s="15" t="inlineStr">
        <x:is>
          <x:t xml:space="preserve">Net Savings</x:t>
        </x:is>
      </x:c>
      <x:c r="B9" s="3">
        <x:f>B7-B8</x:f>
        <x:v>493425</x:v>
      </x:c>
      <x:c r="H9" t="inlineStr">
        <x:is>
          <x:t xml:space="preserve">Jul-26</x:t>
        </x:is>
      </x:c>
      <x:c r="I9" s="3">
        <x:f>SUMIFS('Cleaned Data'!$G$2:$G$180,'Cleaned Data'!$H$2:$H$180,"Income",'Cleaned Data'!$B$2:$B$180,H9)</x:f>
        <x:v>93619</x:v>
      </x:c>
      <x:c r="J9" s="3">
        <x:f>SUMIFS('Cleaned Data'!$G$2:$G$180,'Cleaned Data'!$H$2:$H$180,"Expense",'Cleaned Data'!$B$2:$B$180,H9)</x:f>
        <x:v>61090</x:v>
      </x:c>
      <x:c r="K9" s="3">
        <x:f>I9-J9</x:f>
        <x:v>32529</x:v>
      </x:c>
      <x:c r="L9" s="14">
        <x:f>IFERROR((K9-K8)/K8,0)</x:f>
        <x:v>-0.17079201611053046</x:v>
      </x:c>
      <x:c r="N9" t="inlineStr">
        <x:is>
          <x:t xml:space="preserve">Travel</x:t>
        </x:is>
      </x:c>
      <x:c r="O9" s="3">
        <x:f>IF($B$3="All",SUMIFS('Cleaned Data'!$G$2:$G$180,'Cleaned Data'!$H$2:$H$180,"Expense",'Cleaned Data'!$D$2:$D$180,N9),SUMIFS('Cleaned Data'!$G$2:$G$180,'Cleaned Data'!$H$2:$H$180,"Expense",'Cleaned Data'!$D$2:$D$180,N9,'Cleaned Data'!$B$2:$B$180,$B$3))</x:f>
        <x:v>61267</x:v>
      </x:c>
      <x:c r="P9" s="14">
        <x:f>IFERROR(O9/$B$8,0)</x:f>
        <x:v>0.07439026019045908</x:v>
      </x:c>
      <x:c r="R9" t="inlineStr">
        <x:is>
          <x:t xml:space="preserve">Fixed</x:t>
        </x:is>
      </x:c>
      <x:c r="S9" s="3">
        <x:f>IF($B$3="All",SUMIFS('Cleaned Data'!$G$2:$G$180,'Cleaned Data'!$H$2:$H$180,"Expense",'Cleaned Data'!$E$2:$E$180,R9),SUMIFS('Cleaned Data'!$G$2:$G$180,'Cleaned Data'!$H$2:$H$180,"Expense",'Cleaned Data'!$E$2:$E$180,R9,'Cleaned Data'!$B$2:$B$180,$B$3))</x:f>
        <x:v>502574</x:v>
      </x:c>
    </x:row>
    <x:row r="10">
      <x:c r="A10" s="15" t="inlineStr">
        <x:is>
          <x:t xml:space="preserve">Savings Rate %</x:t>
        </x:is>
      </x:c>
      <x:c r="B10" s="14">
        <x:f>IFERROR(B9/B7,0)</x:f>
        <x:v>0.3746543316927535</x:v>
      </x:c>
      <x:c r="H10" t="inlineStr">
        <x:is>
          <x:t xml:space="preserve">Aug-26</x:t>
        </x:is>
      </x:c>
      <x:c r="I10" s="3">
        <x:f>SUMIFS('Cleaned Data'!$G$2:$G$180,'Cleaned Data'!$H$2:$H$180,"Income",'Cleaned Data'!$B$2:$B$180,H10)</x:f>
        <x:v>112885</x:v>
      </x:c>
      <x:c r="J10" s="3">
        <x:f>SUMIFS('Cleaned Data'!$G$2:$G$180,'Cleaned Data'!$H$2:$H$180,"Expense",'Cleaned Data'!$B$2:$B$180,H10)</x:f>
        <x:v>73470</x:v>
      </x:c>
      <x:c r="K10" s="3">
        <x:f>I10-J10</x:f>
        <x:v>39415</x:v>
      </x:c>
      <x:c r="L10" s="14">
        <x:f>IFERROR((K10-K9)/K9,0)</x:f>
        <x:v>0.211688032217406</x:v>
      </x:c>
      <x:c r="N10" t="inlineStr">
        <x:is>
          <x:t xml:space="preserve">Entertainment</x:t>
        </x:is>
      </x:c>
      <x:c r="O10" s="3">
        <x:f>IF($B$3="All",SUMIFS('Cleaned Data'!$G$2:$G$180,'Cleaned Data'!$H$2:$H$180,"Expense",'Cleaned Data'!$D$2:$D$180,N10),SUMIFS('Cleaned Data'!$G$2:$G$180,'Cleaned Data'!$H$2:$H$180,"Expense",'Cleaned Data'!$D$2:$D$180,N10,'Cleaned Data'!$B$2:$B$180,$B$3))</x:f>
        <x:v>20479</x:v>
      </x:c>
      <x:c r="P10" s="14">
        <x:f>IFERROR(O10/$B$8,0)</x:f>
        <x:v>0.024865557942128903</x:v>
      </x:c>
      <x:c r="R10" t="inlineStr">
        <x:is>
          <x:t xml:space="preserve">Variable</x:t>
        </x:is>
      </x:c>
      <x:c r="S10" s="3">
        <x:f>IF($B$3="All",SUMIFS('Cleaned Data'!$G$2:$G$180,'Cleaned Data'!$H$2:$H$180,"Expense",'Cleaned Data'!$E$2:$E$180,R10),SUMIFS('Cleaned Data'!$G$2:$G$180,'Cleaned Data'!$H$2:$H$180,"Expense",'Cleaned Data'!$E$2:$E$180,R10,'Cleaned Data'!$B$2:$B$180,$B$3))</x:f>
        <x:v>321015</x:v>
      </x:c>
    </x:row>
    <x:row r="11">
      <x:c r="A11" s="15" t="inlineStr">
        <x:is>
          <x:t xml:space="preserve">Budget Allocated</x:t>
        </x:is>
      </x:c>
      <x:c r="B11" s="3">
        <x:f>IF($B$3="All",SUM('Budget Planning'!$C$2:$C$133),SUMIFS('Budget Planning'!$C$2:$C$133,'Budget Planning'!$A$2:$A$133,$B$3))</x:f>
        <x:v>921457</x:v>
      </x:c>
      <x:c r="H11" t="inlineStr">
        <x:is>
          <x:t xml:space="preserve">Sep-26</x:t>
        </x:is>
      </x:c>
      <x:c r="I11" s="3">
        <x:f>SUMIFS('Cleaned Data'!$G$2:$G$180,'Cleaned Data'!$H$2:$H$180,"Income",'Cleaned Data'!$B$2:$B$180,H11)</x:f>
        <x:v>113429</x:v>
      </x:c>
      <x:c r="J11" s="3">
        <x:f>SUMIFS('Cleaned Data'!$G$2:$G$180,'Cleaned Data'!$H$2:$H$180,"Expense",'Cleaned Data'!$B$2:$B$180,H11)</x:f>
        <x:v>59849</x:v>
      </x:c>
      <x:c r="K11" s="3">
        <x:f>I11-J11</x:f>
        <x:v>53580</x:v>
      </x:c>
      <x:c r="L11" s="14">
        <x:f>IFERROR((K11-K10)/K10,0)</x:f>
        <x:v>0.3593809463402258</x:v>
      </x:c>
      <x:c r="N11" t="inlineStr">
        <x:is>
          <x:t xml:space="preserve">Healthcare</x:t>
        </x:is>
      </x:c>
      <x:c r="O11" s="3">
        <x:f>IF($B$3="All",SUMIFS('Cleaned Data'!$G$2:$G$180,'Cleaned Data'!$H$2:$H$180,"Expense",'Cleaned Data'!$D$2:$D$180,N11),SUMIFS('Cleaned Data'!$G$2:$G$180,'Cleaned Data'!$H$2:$H$180,"Expense",'Cleaned Data'!$D$2:$D$180,N11,'Cleaned Data'!$B$2:$B$180,$B$3))</x:f>
        <x:v>28928</x:v>
      </x:c>
      <x:c r="P11" s="14">
        <x:f>IFERROR(O11/$B$8,0)</x:f>
        <x:v>0.03512431564773206</x:v>
      </x:c>
    </x:row>
    <x:row r="12">
      <x:c r="A12" s="15" t="inlineStr">
        <x:is>
          <x:t xml:space="preserve">Budget Remaining</x:t>
        </x:is>
      </x:c>
      <x:c r="B12" s="3">
        <x:f>B11-B8</x:f>
        <x:v>97868</x:v>
      </x:c>
      <x:c r="H12" t="inlineStr">
        <x:is>
          <x:t xml:space="preserve">Oct-26</x:t>
        </x:is>
      </x:c>
      <x:c r="I12" s="3">
        <x:f>SUMIFS('Cleaned Data'!$G$2:$G$180,'Cleaned Data'!$H$2:$H$180,"Income",'Cleaned Data'!$B$2:$B$180,H12)</x:f>
        <x:v>115077</x:v>
      </x:c>
      <x:c r="J12" s="3">
        <x:f>SUMIFS('Cleaned Data'!$G$2:$G$180,'Cleaned Data'!$H$2:$H$180,"Expense",'Cleaned Data'!$B$2:$B$180,H12)</x:f>
        <x:v>70771</x:v>
      </x:c>
      <x:c r="K12" s="3">
        <x:f>I12-J12</x:f>
        <x:v>44306</x:v>
      </x:c>
      <x:c r="L12" s="14">
        <x:f>IFERROR((K12-K11)/K11,0)</x:f>
        <x:v>-0.1730869727510265</x:v>
      </x:c>
      <x:c r="N12" t="inlineStr">
        <x:is>
          <x:t xml:space="preserve">Insurance</x:t>
        </x:is>
      </x:c>
      <x:c r="O12" s="3">
        <x:f>IF($B$3="All",SUMIFS('Cleaned Data'!$G$2:$G$180,'Cleaned Data'!$H$2:$H$180,"Expense",'Cleaned Data'!$D$2:$D$180,N12),SUMIFS('Cleaned Data'!$G$2:$G$180,'Cleaned Data'!$H$2:$H$180,"Expense",'Cleaned Data'!$D$2:$D$180,N12,'Cleaned Data'!$B$2:$B$180,$B$3))</x:f>
        <x:v>14000</x:v>
      </x:c>
      <x:c r="P12" s="14">
        <x:f>IFERROR(O12/$B$8,0)</x:f>
        <x:v>0.016998770017569442</x:v>
      </x:c>
    </x:row>
    <x:row r="13">
      <x:c r="A13" s="15" t="inlineStr">
        <x:is>
          <x:t xml:space="preserve">Budget vs Actual %</x:t>
        </x:is>
      </x:c>
      <x:c r="B13" s="14">
        <x:f>IFERROR(B8/B11,0)</x:f>
        <x:v>0.8937899435350755</x:v>
      </x:c>
      <x:c r="H13" t="inlineStr">
        <x:is>
          <x:t xml:space="preserve">Nov-26</x:t>
        </x:is>
      </x:c>
      <x:c r="I13" s="3">
        <x:f>SUMIFS('Cleaned Data'!$G$2:$G$180,'Cleaned Data'!$H$2:$H$180,"Income",'Cleaned Data'!$B$2:$B$180,H13)</x:f>
        <x:v>93611</x:v>
      </x:c>
      <x:c r="J13" s="3">
        <x:f>SUMIFS('Cleaned Data'!$G$2:$G$180,'Cleaned Data'!$H$2:$H$180,"Expense",'Cleaned Data'!$B$2:$B$180,H13)</x:f>
        <x:v>71416</x:v>
      </x:c>
      <x:c r="K13" s="3">
        <x:f>I13-J13</x:f>
        <x:v>22195</x:v>
      </x:c>
      <x:c r="L13" s="14">
        <x:f>IFERROR((K13-K12)/K12,0)</x:f>
        <x:v>-0.49905204712679996</x:v>
      </x:c>
      <x:c r="N13" t="inlineStr">
        <x:is>
          <x:t xml:space="preserve">Education</x:t>
        </x:is>
      </x:c>
      <x:c r="O13" s="3">
        <x:f>IF($B$3="All",SUMIFS('Cleaned Data'!$G$2:$G$180,'Cleaned Data'!$H$2:$H$180,"Expense",'Cleaned Data'!$D$2:$D$180,N13),SUMIFS('Cleaned Data'!$G$2:$G$180,'Cleaned Data'!$H$2:$H$180,"Expense",'Cleaned Data'!$D$2:$D$180,N13,'Cleaned Data'!$B$2:$B$180,$B$3))</x:f>
        <x:v>10507</x:v>
      </x:c>
      <x:c r="P13" s="14">
        <x:f>IFERROR(O13/$B$8,0)</x:f>
        <x:v>0.012757576898185867</x:v>
      </x:c>
    </x:row>
    <x:row r="14">
      <x:c r="A14" s="15" t="inlineStr">
        <x:is>
          <x:t xml:space="preserve">Expense Transactions</x:t>
        </x:is>
      </x:c>
      <x:c r="B14">
        <x:f>IF($B$3="All",COUNTIFS('Cleaned Data'!$H$2:$H$180,"Expense"),COUNTIFS('Cleaned Data'!$H$2:$H$180,"Expense",'Cleaned Data'!$B$2:$B$180,$B$3))</x:f>
        <x:v>154</x:v>
      </x:c>
      <x:c r="H14" t="inlineStr">
        <x:is>
          <x:t xml:space="preserve">Dec-26</x:t>
        </x:is>
      </x:c>
      <x:c r="I14" s="3">
        <x:f>SUMIFS('Cleaned Data'!$G$2:$G$180,'Cleaned Data'!$H$2:$H$180,"Income",'Cleaned Data'!$B$2:$B$180,H14)</x:f>
        <x:v>168377</x:v>
      </x:c>
      <x:c r="J14" s="3">
        <x:f>SUMIFS('Cleaned Data'!$G$2:$G$180,'Cleaned Data'!$H$2:$H$180,"Expense",'Cleaned Data'!$B$2:$B$180,H14)</x:f>
        <x:v>78803</x:v>
      </x:c>
      <x:c r="K14" s="3">
        <x:f>I14-J14</x:f>
        <x:v>89574</x:v>
      </x:c>
      <x:c r="L14" s="14">
        <x:f>IFERROR((K14-K13)/K13,0)</x:f>
        <x:v>3.035773822933093</x:v>
      </x:c>
    </x:row>
  </x:sheetData>
  <x:mergeCells>
    <x:mergeCell ref="A1:D1"/>
  </x:mergeCells>
  <x:conditionalFormatting sqref="B12:B12">
    <x:cfRule type="cellIs" dxfId="1" priority="1" operator="lessThan">
      <x:formula>0</x:formula>
    </x:cfRule>
  </x:conditionalFormatting>
  <x:conditionalFormatting sqref="B13:B13">
    <x:cfRule type="cellIs" dxfId="1" priority="2" operator="greaterThan">
      <x:formula>1</x:formula>
    </x:cfRule>
  </x:conditionalFormatting>
  <x:dataValidations count="1">
    <x:dataValidation type="list" allowBlank="0" showDropDown="0" showInputMessage="0" showErrorMessage="0" sqref="B3">
      <x:formula1>"All,Jan-26,Feb-26,Mar-26,Apr-26,May-26,Jun-26,Jul-26,Aug-26,Sep-26,Oct-26,Nov-26,Dec-26"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3" customWidth="1"/>
    <x:col min="5" max="5" width="14" customWidth="1"/>
    <x:col min="6" max="6" width="14" customWidth="1"/>
    <x:col min="7" max="7" width="14" customWidth="1"/>
    <x:col min="8" max="8" width="3" customWidth="1"/>
    <x:col min="9" max="9" width="14" customWidth="1"/>
    <x:col min="10" max="10" width="14" customWidth="1"/>
    <x:col min="11" max="11" width="14" customWidth="1"/>
    <x:col min="12" max="12" width="3" customWidth="1"/>
    <x:col min="13" max="13" width="14" customWidth="1"/>
    <x:col min="14" max="14" width="14" customWidth="1"/>
    <x:col min="15" max="15" width="14" customWidth="1"/>
    <x:col min="16" max="16" width="4" customWidth="1"/>
    <x:col min="17" max="17" width="16" customWidth="1"/>
    <x:col min="18" max="18" width="16" customWidth="1"/>
    <x:col min="19" max="19" width="16" customWidth="1"/>
  </x:cols>
  <x:sheetData>
    <x:row r="1">
      <x:c r="A1" s="16" t="inlineStr">
        <x:is>
          <x:t xml:space="preserve">Personal Finance &amp; Expense Management Dashboard</x:t>
        </x:is>
      </x:c>
    </x:row>
    <x:row r="2"/>
    <x:row r="4">
      <x:c r="A4" s="17" t="inlineStr">
        <x:is>
          <x:t xml:space="preserve">Total Income</x:t>
        </x:is>
      </x:c>
      <x:c r="B4" s="18" t="n"/>
      <x:c r="C4" s="18" t="n"/>
      <x:c r="D4" s="18" t="n"/>
      <x:c r="E4" s="19" t="inlineStr">
        <x:is>
          <x:t xml:space="preserve">Total Expenses</x:t>
        </x:is>
      </x:c>
      <x:c r="F4" s="18" t="n"/>
      <x:c r="G4" s="18" t="n"/>
      <x:c r="H4" s="18" t="n"/>
      <x:c r="I4" s="20" t="inlineStr">
        <x:is>
          <x:t xml:space="preserve">Net Savings</x:t>
        </x:is>
      </x:c>
      <x:c r="J4" s="18" t="n"/>
      <x:c r="K4" s="18" t="n"/>
      <x:c r="L4" s="18" t="n"/>
      <x:c r="M4" s="21" t="inlineStr">
        <x:is>
          <x:t xml:space="preserve">Savings Rate</x:t>
        </x:is>
      </x:c>
      <x:c r="N4" s="18" t="n"/>
      <x:c r="O4" s="18" t="n"/>
      <x:c r="Q4" s="22" t="inlineStr">
        <x:is>
          <x:t xml:space="preserve">Dashboard Filter</x:t>
        </x:is>
      </x:c>
      <x:c r="R4" s="18" t="n"/>
    </x:row>
    <x:row r="5">
      <x:c r="A5" s="18" t="n"/>
      <x:c r="B5" s="18" t="n"/>
      <x:c r="C5" s="18" t="n"/>
      <x:c r="D5" s="18" t="n"/>
      <x:c r="E5" s="18" t="n"/>
      <x:c r="F5" s="18" t="n"/>
      <x:c r="G5" s="18" t="n"/>
      <x:c r="H5" s="18" t="n"/>
      <x:c r="I5" s="18" t="n"/>
      <x:c r="J5" s="18" t="n"/>
      <x:c r="K5" s="18" t="n"/>
      <x:c r="L5" s="18" t="n"/>
      <x:c r="M5" s="18" t="n"/>
      <x:c r="N5" s="18" t="n"/>
      <x:c r="O5" s="18" t="n"/>
      <x:c r="Q5" s="18" t="inlineStr">
        <x:is>
          <x:t xml:space="preserve">Selected Month</x:t>
        </x:is>
      </x:c>
      <x:c r="R5" s="18" t="str">
        <x:f>'KPI Summary'!B3</x:f>
        <x:v>All</x:v>
      </x:c>
    </x:row>
    <x:row r="6">
      <x:c r="A6" s="23">
        <x:f>'KPI Summary'!B7</x:f>
        <x:v>1317014</x:v>
      </x:c>
      <x:c r="B6" s="18" t="n"/>
      <x:c r="C6" s="18" t="n"/>
      <x:c r="D6" s="18" t="n"/>
      <x:c r="E6" s="24">
        <x:f>'KPI Summary'!B8</x:f>
        <x:v>823589</x:v>
      </x:c>
      <x:c r="F6" s="18" t="n"/>
      <x:c r="G6" s="18" t="n"/>
      <x:c r="H6" s="18" t="n"/>
      <x:c r="I6" s="25">
        <x:f>'KPI Summary'!B9</x:f>
        <x:v>493425</x:v>
      </x:c>
      <x:c r="J6" s="18" t="n"/>
      <x:c r="K6" s="18" t="n"/>
      <x:c r="L6" s="18" t="n"/>
      <x:c r="M6" s="26">
        <x:f>'KPI Summary'!B10</x:f>
        <x:v>0.3746543316927535</x:v>
      </x:c>
      <x:c r="N6" s="18" t="n"/>
      <x:c r="O6" s="18" t="n"/>
      <x:c r="Q6" s="18" t="inlineStr">
        <x:is>
          <x:t xml:space="preserve">Slicer Zone</x:t>
        </x:is>
      </x:c>
      <x:c r="R6" s="18" t="n"/>
    </x:row>
    <x:row r="7">
      <x:c r="A7" s="18" t="n"/>
      <x:c r="B7" s="18" t="n"/>
      <x:c r="C7" s="18" t="n"/>
      <x:c r="D7" s="18" t="n"/>
      <x:c r="E7" s="18" t="n"/>
      <x:c r="F7" s="18" t="n"/>
      <x:c r="G7" s="18" t="n"/>
      <x:c r="H7" s="18" t="n"/>
      <x:c r="I7" s="18" t="n"/>
      <x:c r="J7" s="18" t="n"/>
      <x:c r="K7" s="18" t="n"/>
      <x:c r="L7" s="18" t="n"/>
      <x:c r="M7" s="18" t="n"/>
      <x:c r="N7" s="18" t="n"/>
      <x:c r="O7" s="18" t="n"/>
      <x:c r="Q7" s="27" t="inlineStr">
        <x:is>
          <x:t xml:space="preserve">Month</x:t>
        </x:is>
      </x:c>
      <x:c r="R7" s="18" t="n"/>
    </x:row>
    <x:row r="8">
      <x:c r="Q8" s="27" t="inlineStr">
        <x:is>
          <x:t xml:space="preserve">Category</x:t>
        </x:is>
      </x:c>
      <x:c r="R8" s="18" t="n"/>
    </x:row>
    <x:row r="9">
      <x:c r="Q9" s="27" t="inlineStr">
        <x:is>
          <x:t xml:space="preserve">Payment Mode</x:t>
        </x:is>
      </x:c>
      <x:c r="R9" s="18" t="n"/>
    </x:row>
    <x:row r="10">
      <x:c r="Q10" s="27" t="inlineStr">
        <x:is>
          <x:t xml:space="preserve">Timeline</x:t>
        </x:is>
      </x:c>
      <x:c r="R10" s="18" t="n"/>
    </x:row>
    <x:row r="11">
      <x:c r="Q11" s="18" t="n"/>
      <x:c r="R11" s="18" t="n"/>
    </x:row>
    <x:row r="12">
      <x:c r="Q12" s="18" t="inlineStr">
        <x:is>
          <x:t xml:space="preserve">Tip</x:t>
        </x:is>
      </x:c>
      <x:c r="R12" s="18" t="n"/>
    </x:row>
    <x:row r="13">
      <x:c r="Q13" s="28" t="inlineStr">
        <x:is>
          <x:t xml:space="preserve">After creating PivotTables from Cleaned Data, place slicers and timeline in this zone.</x:t>
        </x:is>
      </x:c>
      <x:c r="R13" s="18" t="n"/>
    </x:row>
    <x:row r="24">
      <x:c r="I24" s="29" t="inlineStr">
        <x:is>
          <x:t xml:space="preserve">Category-wise Spend</x:t>
        </x:is>
      </x:c>
      <x:c r="J24" s="18" t="n"/>
      <x:c r="K24" s="18" t="n"/>
      <x:c r="M24" s="30" t="inlineStr">
        <x:is>
          <x:t xml:space="preserve">Payment Mode Analysis</x:t>
        </x:is>
      </x:c>
      <x:c r="N24" s="18" t="n"/>
      <x:c r="Q24" s="31" t="inlineStr">
        <x:is>
          <x:t xml:space="preserve">Insight Prompts</x:t>
        </x:is>
      </x:c>
      <x:c r="R24" s="18" t="n"/>
    </x:row>
    <x:row r="25">
      <x:c r="I25" s="32" t="inlineStr">
        <x:is>
          <x:t xml:space="preserve">Category</x:t>
        </x:is>
      </x:c>
      <x:c r="J25" s="32" t="inlineStr">
        <x:is>
          <x:t xml:space="preserve">Amount</x:t>
        </x:is>
      </x:c>
      <x:c r="K25" s="32" t="inlineStr">
        <x:is>
          <x:t xml:space="preserve">Share %</x:t>
        </x:is>
      </x:c>
      <x:c r="M25" s="33" t="inlineStr">
        <x:is>
          <x:t xml:space="preserve">Mode</x:t>
        </x:is>
      </x:c>
      <x:c r="N25" s="33" t="inlineStr">
        <x:is>
          <x:t xml:space="preserve">Amount</x:t>
        </x:is>
      </x:c>
      <x:c r="Q25" s="28" t="inlineStr">
        <x:is>
          <x:t xml:space="preserve">1. Compare income vs expense trend.</x:t>
        </x:is>
      </x:c>
      <x:c r="R25" s="18" t="n"/>
    </x:row>
    <x:row r="26">
      <x:c r="I26" s="18" t="str">
        <x:f>'KPI Summary'!N3</x:f>
        <x:v>Rent</x:v>
      </x:c>
      <x:c r="J26" s="34">
        <x:f>'KPI Summary'!O3</x:f>
        <x:v>336000</x:v>
      </x:c>
      <x:c r="K26" s="35">
        <x:f>'KPI Summary'!P3</x:f>
        <x:v>0.4079704804216666</x:v>
      </x:c>
      <x:c r="M26" s="18" t="str">
        <x:f>'KPI Summary'!R3</x:f>
        <x:v>Cash</x:v>
      </x:c>
      <x:c r="N26" s="34">
        <x:f>'KPI Summary'!S3</x:f>
        <x:v>72909</x:v>
      </x:c>
      <x:c r="Q26" s="28" t="inlineStr">
        <x:is>
          <x:t xml:space="preserve">2. Check if savings rate is improving.</x:t>
        </x:is>
      </x:c>
      <x:c r="R26" s="18" t="n"/>
    </x:row>
    <x:row r="27">
      <x:c r="I27" s="18" t="str">
        <x:f>'KPI Summary'!N4</x:f>
        <x:v>EMI</x:v>
      </x:c>
      <x:c r="J27" s="34">
        <x:f>'KPI Summary'!O4</x:f>
        <x:v>108000</x:v>
      </x:c>
      <x:c r="K27" s="35">
        <x:f>'KPI Summary'!P4</x:f>
        <x:v>0.13113336870696427</x:v>
      </x:c>
      <x:c r="M27" s="18" t="str">
        <x:f>'KPI Summary'!R4</x:f>
        <x:v>UPI</x:v>
      </x:c>
      <x:c r="N27" s="34">
        <x:f>'KPI Summary'!S4</x:f>
        <x:v>133991</x:v>
      </x:c>
      <x:c r="Q27" s="28" t="inlineStr">
        <x:is>
          <x:t xml:space="preserve">3. Review overspending categories.</x:t>
        </x:is>
      </x:c>
      <x:c r="R27" s="18" t="n"/>
    </x:row>
    <x:row r="28">
      <x:c r="I28" s="18" t="str">
        <x:f>'KPI Summary'!N5</x:f>
        <x:v>Groceries</x:v>
      </x:c>
      <x:c r="J28" s="34">
        <x:f>'KPI Summary'!O5</x:f>
        <x:v>83119</x:v>
      </x:c>
      <x:c r="K28" s="35">
        <x:f>'KPI Summary'!P5</x:f>
        <x:v>0.10092291179216818</x:v>
      </x:c>
      <x:c r="M28" s="18" t="str">
        <x:f>'KPI Summary'!R5</x:f>
        <x:v>Credit Card</x:v>
      </x:c>
      <x:c r="N28" s="34">
        <x:f>'KPI Summary'!S5</x:f>
        <x:v>137001</x:v>
      </x:c>
      <x:c r="Q28" s="28" t="inlineStr">
        <x:is>
          <x:t xml:space="preserve">4. Analyze payment mode concentration.</x:t>
        </x:is>
      </x:c>
      <x:c r="R28" s="18" t="n"/>
    </x:row>
    <x:row r="29">
      <x:c r="I29" s="18" t="str">
        <x:f>'KPI Summary'!N6</x:f>
        <x:v>Food</x:v>
      </x:c>
      <x:c r="J29" s="34">
        <x:f>'KPI Summary'!O6</x:f>
        <x:v>46569</x:v>
      </x:c>
      <x:c r="K29" s="35">
        <x:f>'KPI Summary'!P6</x:f>
        <x:v>0.056543980067727956</x:v>
      </x:c>
      <x:c r="M29" s="18" t="str">
        <x:f>'KPI Summary'!R6</x:f>
        <x:v>Bank Transfer</x:v>
      </x:c>
      <x:c r="N29" s="34">
        <x:f>'KPI Summary'!S6</x:f>
        <x:v>479688</x:v>
      </x:c>
      <x:c r="Q29" s="18" t="n"/>
      <x:c r="R29" s="18" t="n"/>
    </x:row>
    <x:row r="30">
      <x:c r="I30" s="18" t="str">
        <x:f>'KPI Summary'!N7</x:f>
        <x:v>Utilities</x:v>
      </x:c>
      <x:c r="J30" s="34">
        <x:f>'KPI Summary'!O7</x:f>
        <x:v>44574</x:v>
      </x:c>
      <x:c r="K30" s="35">
        <x:f>'KPI Summary'!P7</x:f>
        <x:v>0.05412165534022431</x:v>
      </x:c>
      <x:c r="M30" s="18" t="n"/>
      <x:c r="N30" s="18" t="n"/>
      <x:c r="Q30" s="18" t="n"/>
      <x:c r="R30" s="18" t="n"/>
    </x:row>
    <x:row r="31">
      <x:c r="I31" s="18" t="str">
        <x:f>'KPI Summary'!N8</x:f>
        <x:v>Shopping</x:v>
      </x:c>
      <x:c r="J31" s="34">
        <x:f>'KPI Summary'!O8</x:f>
        <x:v>70146</x:v>
      </x:c>
      <x:c r="K31" s="35">
        <x:f>'KPI Summary'!P8</x:f>
        <x:v>0.08517112297517329</x:v>
      </x:c>
      <x:c r="M31" s="18" t="n"/>
      <x:c r="N31" s="18" t="n"/>
    </x:row>
    <x:row r="32">
      <x:c r="I32" s="18" t="str">
        <x:f>'KPI Summary'!N9</x:f>
        <x:v>Travel</x:v>
      </x:c>
      <x:c r="J32" s="34">
        <x:f>'KPI Summary'!O9</x:f>
        <x:v>61267</x:v>
      </x:c>
      <x:c r="K32" s="35">
        <x:f>'KPI Summary'!P9</x:f>
        <x:v>0.07439026019045908</x:v>
      </x:c>
      <x:c r="M32" s="36" t="inlineStr">
        <x:is>
          <x:t xml:space="preserve">Fixed vs Variable</x:t>
        </x:is>
      </x:c>
      <x:c r="N32" s="18" t="n"/>
    </x:row>
    <x:row r="33">
      <x:c r="I33" s="18" t="str">
        <x:f>'KPI Summary'!N10</x:f>
        <x:v>Entertainment</x:v>
      </x:c>
      <x:c r="J33" s="34">
        <x:f>'KPI Summary'!O10</x:f>
        <x:v>20479</x:v>
      </x:c>
      <x:c r="K33" s="35">
        <x:f>'KPI Summary'!P10</x:f>
        <x:v>0.024865557942128903</x:v>
      </x:c>
      <x:c r="M33" s="37" t="inlineStr">
        <x:is>
          <x:t xml:space="preserve">Type</x:t>
        </x:is>
      </x:c>
      <x:c r="N33" s="37" t="inlineStr">
        <x:is>
          <x:t xml:space="preserve">Amount</x:t>
        </x:is>
      </x:c>
    </x:row>
    <x:row r="34">
      <x:c r="I34" s="18" t="str">
        <x:f>'KPI Summary'!N11</x:f>
        <x:v>Healthcare</x:v>
      </x:c>
      <x:c r="J34" s="34">
        <x:f>'KPI Summary'!O11</x:f>
        <x:v>28928</x:v>
      </x:c>
      <x:c r="K34" s="35">
        <x:f>'KPI Summary'!P11</x:f>
        <x:v>0.03512431564773206</x:v>
      </x:c>
      <x:c r="M34" s="18" t="str">
        <x:f>'KPI Summary'!R9</x:f>
        <x:v>Fixed</x:v>
      </x:c>
      <x:c r="N34" s="34">
        <x:f>'KPI Summary'!S9</x:f>
        <x:v>502574</x:v>
      </x:c>
    </x:row>
    <x:row r="35">
      <x:c r="I35" s="18" t="str">
        <x:f>'KPI Summary'!N12</x:f>
        <x:v>Insurance</x:v>
      </x:c>
      <x:c r="J35" s="34">
        <x:f>'KPI Summary'!O12</x:f>
        <x:v>14000</x:v>
      </x:c>
      <x:c r="K35" s="35">
        <x:f>'KPI Summary'!P12</x:f>
        <x:v>0.016998770017569442</x:v>
      </x:c>
      <x:c r="M35" s="18" t="str">
        <x:f>'KPI Summary'!R10</x:f>
        <x:v>Variable</x:v>
      </x:c>
      <x:c r="N35" s="34">
        <x:f>'KPI Summary'!S10</x:f>
        <x:v>321015</x:v>
      </x:c>
    </x:row>
    <x:row r="36">
      <x:c r="I36" s="18" t="str">
        <x:f>'KPI Summary'!N13</x:f>
        <x:v>Education</x:v>
      </x:c>
      <x:c r="J36" s="34">
        <x:f>'KPI Summary'!O13</x:f>
        <x:v>10507</x:v>
      </x:c>
      <x:c r="K36" s="35">
        <x:f>'KPI Summary'!P13</x:f>
        <x:v>0.012757576898185867</x:v>
      </x:c>
    </x:row>
  </x:sheetData>
  <x:mergeCells>
    <x:mergeCell ref="E6:G7"/>
    <x:mergeCell ref="A6:C7"/>
    <x:mergeCell ref="I6:K7"/>
    <x:mergeCell ref="A1:S2"/>
    <x:mergeCell ref="M4:O5"/>
    <x:mergeCell ref="A4:C5"/>
    <x:mergeCell ref="E4:G5"/>
    <x:mergeCell ref="I4:K5"/>
    <x:mergeCell ref="M6:O7"/>
  </x:mergeCells>
  <x:pageMargins left="0.7" right="0.7" top="0.75" bottom="0.75" header="0.3" footer="0.3"/>
  <x:drawing xmlns:r="http://schemas.openxmlformats.org/officeDocument/2006/relationships" r:id="R56eff5a2a8e8446e"/>
</x:worksheet>
</file>